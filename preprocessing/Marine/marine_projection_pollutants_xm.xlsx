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.benoit/Documents/GitHub/FAIR/preprocessing/Marine/"/>
    </mc:Choice>
  </mc:AlternateContent>
  <xr:revisionPtr revIDLastSave="0" documentId="13_ncr:1_{3D953EB6-041B-6247-B4D0-935C9D6E4FBE}" xr6:coauthVersionLast="47" xr6:coauthVersionMax="47" xr10:uidLastSave="{00000000-0000-0000-0000-000000000000}"/>
  <bookViews>
    <workbookView xWindow="0" yWindow="760" windowWidth="30240" windowHeight="17480" activeTab="4" xr2:uid="{7390F7BC-2878-C448-BFD6-697C1838C1D4}"/>
  </bookViews>
  <sheets>
    <sheet name="sox" sheetId="1" r:id="rId1"/>
    <sheet name="nox" sheetId="2" r:id="rId2"/>
    <sheet name="voc" sheetId="3" r:id="rId3"/>
    <sheet name="co" sheetId="4" r:id="rId4"/>
    <sheet name="sox 0.1% sulfur" sheetId="5" r:id="rId5"/>
  </sheets>
  <externalReferences>
    <externalReference r:id="rId6"/>
  </externalReferences>
  <definedNames>
    <definedName name="MMBtu_to_MJ">'[1]Cell reference'!$B$9</definedName>
  </definedNames>
  <calcPr calcId="191029" iterateDelta="1E-4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7" i="5" l="1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16" i="5"/>
  <c r="L4" i="5"/>
  <c r="M5" i="5"/>
  <c r="M6" i="5"/>
  <c r="R6" i="5"/>
  <c r="Y6" i="5"/>
  <c r="M7" i="5"/>
  <c r="M8" i="5"/>
  <c r="M9" i="5"/>
  <c r="R9" i="5"/>
  <c r="Y9" i="5"/>
  <c r="M10" i="5"/>
  <c r="R10" i="5"/>
  <c r="Y10" i="5"/>
  <c r="M11" i="5"/>
  <c r="M12" i="5"/>
  <c r="M13" i="5"/>
  <c r="M14" i="5"/>
  <c r="M15" i="5"/>
  <c r="M16" i="5"/>
  <c r="M17" i="5"/>
  <c r="M18" i="5"/>
  <c r="R18" i="5"/>
  <c r="M19" i="5"/>
  <c r="M20" i="5"/>
  <c r="R20" i="5"/>
  <c r="M21" i="5"/>
  <c r="R21" i="5"/>
  <c r="M22" i="5"/>
  <c r="M23" i="5"/>
  <c r="M24" i="5"/>
  <c r="M25" i="5"/>
  <c r="M26" i="5"/>
  <c r="M27" i="5"/>
  <c r="M28" i="5"/>
  <c r="M29" i="5"/>
  <c r="R29" i="5"/>
  <c r="M30" i="5"/>
  <c r="R30" i="5"/>
  <c r="M31" i="5"/>
  <c r="M32" i="5"/>
  <c r="M33" i="5"/>
  <c r="M34" i="5"/>
  <c r="M35" i="5"/>
  <c r="M4" i="5"/>
  <c r="L5" i="5"/>
  <c r="R5" i="5"/>
  <c r="Y5" i="5"/>
  <c r="Y11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55" i="5"/>
  <c r="L56" i="5"/>
  <c r="L41" i="5"/>
  <c r="L42" i="5"/>
  <c r="L43" i="5"/>
  <c r="L44" i="5"/>
  <c r="R44" i="5"/>
  <c r="L45" i="5"/>
  <c r="L46" i="5"/>
  <c r="L47" i="5"/>
  <c r="L48" i="5"/>
  <c r="L49" i="5"/>
  <c r="R49" i="5"/>
  <c r="L50" i="5"/>
  <c r="L51" i="5"/>
  <c r="L52" i="5"/>
  <c r="L53" i="5"/>
  <c r="L54" i="5"/>
  <c r="L40" i="5"/>
  <c r="R45" i="5"/>
  <c r="R46" i="5"/>
  <c r="R47" i="5"/>
  <c r="R48" i="5"/>
  <c r="R50" i="5"/>
  <c r="L57" i="5"/>
  <c r="L58" i="5"/>
  <c r="R58" i="5"/>
  <c r="L59" i="5"/>
  <c r="R59" i="5"/>
  <c r="L60" i="5"/>
  <c r="R60" i="5"/>
  <c r="L61" i="5"/>
  <c r="L62" i="5"/>
  <c r="L63" i="5"/>
  <c r="L64" i="5"/>
  <c r="R64" i="5"/>
  <c r="L65" i="5"/>
  <c r="L66" i="5"/>
  <c r="L67" i="5"/>
  <c r="L68" i="5"/>
  <c r="R68" i="5"/>
  <c r="L69" i="5"/>
  <c r="L70" i="5"/>
  <c r="R70" i="5"/>
  <c r="L71" i="5"/>
  <c r="R11" i="5"/>
  <c r="R19" i="5"/>
  <c r="L20" i="5"/>
  <c r="L21" i="5"/>
  <c r="L22" i="5"/>
  <c r="L23" i="5"/>
  <c r="L24" i="5"/>
  <c r="L25" i="5"/>
  <c r="L26" i="5"/>
  <c r="L27" i="5"/>
  <c r="L28" i="5"/>
  <c r="R28" i="5"/>
  <c r="L29" i="5"/>
  <c r="L30" i="5"/>
  <c r="L31" i="5"/>
  <c r="L32" i="5"/>
  <c r="L33" i="5"/>
  <c r="L34" i="5"/>
  <c r="L35" i="5"/>
  <c r="R71" i="5"/>
  <c r="Q71" i="5"/>
  <c r="P71" i="5"/>
  <c r="O71" i="5"/>
  <c r="N71" i="5"/>
  <c r="M71" i="5"/>
  <c r="Q70" i="5"/>
  <c r="P70" i="5"/>
  <c r="O70" i="5"/>
  <c r="N70" i="5"/>
  <c r="M70" i="5"/>
  <c r="Q69" i="5"/>
  <c r="P69" i="5"/>
  <c r="O69" i="5"/>
  <c r="N69" i="5"/>
  <c r="M69" i="5"/>
  <c r="Q68" i="5"/>
  <c r="P68" i="5"/>
  <c r="O68" i="5"/>
  <c r="N68" i="5"/>
  <c r="M68" i="5"/>
  <c r="R67" i="5"/>
  <c r="Q67" i="5"/>
  <c r="P67" i="5"/>
  <c r="O67" i="5"/>
  <c r="N67" i="5"/>
  <c r="M67" i="5"/>
  <c r="Q66" i="5"/>
  <c r="P66" i="5"/>
  <c r="O66" i="5"/>
  <c r="N66" i="5"/>
  <c r="M66" i="5"/>
  <c r="R66" i="5"/>
  <c r="Q65" i="5"/>
  <c r="P65" i="5"/>
  <c r="O65" i="5"/>
  <c r="N65" i="5"/>
  <c r="M65" i="5"/>
  <c r="R65" i="5"/>
  <c r="Q64" i="5"/>
  <c r="P64" i="5"/>
  <c r="O64" i="5"/>
  <c r="N64" i="5"/>
  <c r="M64" i="5"/>
  <c r="R63" i="5"/>
  <c r="Q63" i="5"/>
  <c r="P63" i="5"/>
  <c r="O63" i="5"/>
  <c r="N63" i="5"/>
  <c r="M63" i="5"/>
  <c r="R62" i="5"/>
  <c r="Q62" i="5"/>
  <c r="P62" i="5"/>
  <c r="O62" i="5"/>
  <c r="N62" i="5"/>
  <c r="M62" i="5"/>
  <c r="Q61" i="5"/>
  <c r="P61" i="5"/>
  <c r="O61" i="5"/>
  <c r="N61" i="5"/>
  <c r="R61" i="5"/>
  <c r="M61" i="5"/>
  <c r="Q60" i="5"/>
  <c r="P60" i="5"/>
  <c r="O60" i="5"/>
  <c r="N60" i="5"/>
  <c r="M60" i="5"/>
  <c r="Q59" i="5"/>
  <c r="P59" i="5"/>
  <c r="O59" i="5"/>
  <c r="N59" i="5"/>
  <c r="M59" i="5"/>
  <c r="Q58" i="5"/>
  <c r="P58" i="5"/>
  <c r="O58" i="5"/>
  <c r="N58" i="5"/>
  <c r="M58" i="5"/>
  <c r="R57" i="5"/>
  <c r="Q57" i="5"/>
  <c r="P57" i="5"/>
  <c r="O57" i="5"/>
  <c r="N57" i="5"/>
  <c r="M57" i="5"/>
  <c r="Q56" i="5"/>
  <c r="P56" i="5"/>
  <c r="O56" i="5"/>
  <c r="N56" i="5"/>
  <c r="R56" i="5"/>
  <c r="M56" i="5"/>
  <c r="Q55" i="5"/>
  <c r="P55" i="5"/>
  <c r="O55" i="5"/>
  <c r="N55" i="5"/>
  <c r="M55" i="5"/>
  <c r="R55" i="5"/>
  <c r="Q54" i="5"/>
  <c r="P54" i="5"/>
  <c r="O54" i="5"/>
  <c r="N54" i="5"/>
  <c r="M54" i="5"/>
  <c r="R54" i="5"/>
  <c r="Q53" i="5"/>
  <c r="P53" i="5"/>
  <c r="O53" i="5"/>
  <c r="N53" i="5"/>
  <c r="M53" i="5"/>
  <c r="R53" i="5"/>
  <c r="Q52" i="5"/>
  <c r="P52" i="5"/>
  <c r="O52" i="5"/>
  <c r="N52" i="5"/>
  <c r="R52" i="5"/>
  <c r="M52" i="5"/>
  <c r="R51" i="5"/>
  <c r="Q51" i="5"/>
  <c r="P51" i="5"/>
  <c r="O51" i="5"/>
  <c r="N51" i="5"/>
  <c r="M51" i="5"/>
  <c r="Q50" i="5"/>
  <c r="P50" i="5"/>
  <c r="O50" i="5"/>
  <c r="N50" i="5"/>
  <c r="M50" i="5"/>
  <c r="Q49" i="5"/>
  <c r="P49" i="5"/>
  <c r="O49" i="5"/>
  <c r="N49" i="5"/>
  <c r="M49" i="5"/>
  <c r="Q48" i="5"/>
  <c r="P48" i="5"/>
  <c r="O48" i="5"/>
  <c r="N48" i="5"/>
  <c r="M48" i="5"/>
  <c r="Q47" i="5"/>
  <c r="P47" i="5"/>
  <c r="O47" i="5"/>
  <c r="N47" i="5"/>
  <c r="M47" i="5"/>
  <c r="Q46" i="5"/>
  <c r="P46" i="5"/>
  <c r="O46" i="5"/>
  <c r="N46" i="5"/>
  <c r="M46" i="5"/>
  <c r="Q45" i="5"/>
  <c r="P45" i="5"/>
  <c r="O45" i="5"/>
  <c r="N45" i="5"/>
  <c r="M45" i="5"/>
  <c r="Q44" i="5"/>
  <c r="P44" i="5"/>
  <c r="O44" i="5"/>
  <c r="N44" i="5"/>
  <c r="M44" i="5"/>
  <c r="Q43" i="5"/>
  <c r="P43" i="5"/>
  <c r="O43" i="5"/>
  <c r="N43" i="5"/>
  <c r="M43" i="5"/>
  <c r="R43" i="5"/>
  <c r="R42" i="5"/>
  <c r="Q42" i="5"/>
  <c r="P42" i="5"/>
  <c r="O42" i="5"/>
  <c r="N42" i="5"/>
  <c r="M42" i="5"/>
  <c r="R41" i="5"/>
  <c r="Q41" i="5"/>
  <c r="P41" i="5"/>
  <c r="O41" i="5"/>
  <c r="N41" i="5"/>
  <c r="M41" i="5"/>
  <c r="Q40" i="5"/>
  <c r="P40" i="5"/>
  <c r="O40" i="5"/>
  <c r="N40" i="5"/>
  <c r="M40" i="5"/>
  <c r="R40" i="5"/>
  <c r="Q35" i="5"/>
  <c r="P35" i="5"/>
  <c r="O35" i="5"/>
  <c r="N35" i="5"/>
  <c r="R35" i="5"/>
  <c r="Q34" i="5"/>
  <c r="P34" i="5"/>
  <c r="O34" i="5"/>
  <c r="N34" i="5"/>
  <c r="Q33" i="5"/>
  <c r="P33" i="5"/>
  <c r="O33" i="5"/>
  <c r="N33" i="5"/>
  <c r="Q32" i="5"/>
  <c r="P32" i="5"/>
  <c r="O32" i="5"/>
  <c r="N32" i="5"/>
  <c r="R32" i="5"/>
  <c r="R31" i="5"/>
  <c r="Q31" i="5"/>
  <c r="P31" i="5"/>
  <c r="O31" i="5"/>
  <c r="N31" i="5"/>
  <c r="Q30" i="5"/>
  <c r="P30" i="5"/>
  <c r="O30" i="5"/>
  <c r="N30" i="5"/>
  <c r="Q29" i="5"/>
  <c r="P29" i="5"/>
  <c r="O29" i="5"/>
  <c r="N29" i="5"/>
  <c r="Q28" i="5"/>
  <c r="P28" i="5"/>
  <c r="O28" i="5"/>
  <c r="N28" i="5"/>
  <c r="Q27" i="5"/>
  <c r="P27" i="5"/>
  <c r="O27" i="5"/>
  <c r="N27" i="5"/>
  <c r="R27" i="5"/>
  <c r="R26" i="5"/>
  <c r="Q26" i="5"/>
  <c r="P26" i="5"/>
  <c r="O26" i="5"/>
  <c r="N26" i="5"/>
  <c r="Q25" i="5"/>
  <c r="P25" i="5"/>
  <c r="O25" i="5"/>
  <c r="N25" i="5"/>
  <c r="R25" i="5"/>
  <c r="Q24" i="5"/>
  <c r="P24" i="5"/>
  <c r="O24" i="5"/>
  <c r="N24" i="5"/>
  <c r="Q23" i="5"/>
  <c r="P23" i="5"/>
  <c r="O23" i="5"/>
  <c r="N23" i="5"/>
  <c r="Q22" i="5"/>
  <c r="P22" i="5"/>
  <c r="O22" i="5"/>
  <c r="N22" i="5"/>
  <c r="Q21" i="5"/>
  <c r="P21" i="5"/>
  <c r="O21" i="5"/>
  <c r="N21" i="5"/>
  <c r="Q20" i="5"/>
  <c r="P20" i="5"/>
  <c r="O20" i="5"/>
  <c r="N20" i="5"/>
  <c r="Q19" i="5"/>
  <c r="P19" i="5"/>
  <c r="O19" i="5"/>
  <c r="N19" i="5"/>
  <c r="Q18" i="5"/>
  <c r="P18" i="5"/>
  <c r="O18" i="5"/>
  <c r="N18" i="5"/>
  <c r="Q17" i="5"/>
  <c r="P17" i="5"/>
  <c r="O17" i="5"/>
  <c r="N17" i="5"/>
  <c r="R17" i="5"/>
  <c r="R16" i="5"/>
  <c r="Q16" i="5"/>
  <c r="P16" i="5"/>
  <c r="O16" i="5"/>
  <c r="N16" i="5"/>
  <c r="Q15" i="5"/>
  <c r="P15" i="5"/>
  <c r="O15" i="5"/>
  <c r="N15" i="5"/>
  <c r="R15" i="5"/>
  <c r="Y15" i="5"/>
  <c r="Q14" i="5"/>
  <c r="P14" i="5"/>
  <c r="O14" i="5"/>
  <c r="N14" i="5"/>
  <c r="Q13" i="5"/>
  <c r="P13" i="5"/>
  <c r="O13" i="5"/>
  <c r="N13" i="5"/>
  <c r="Q12" i="5"/>
  <c r="P12" i="5"/>
  <c r="O12" i="5"/>
  <c r="N12" i="5"/>
  <c r="Q11" i="5"/>
  <c r="P11" i="5"/>
  <c r="O11" i="5"/>
  <c r="N11" i="5"/>
  <c r="Q10" i="5"/>
  <c r="P10" i="5"/>
  <c r="O10" i="5"/>
  <c r="N10" i="5"/>
  <c r="Q9" i="5"/>
  <c r="P9" i="5"/>
  <c r="O9" i="5"/>
  <c r="N9" i="5"/>
  <c r="Q8" i="5"/>
  <c r="P8" i="5"/>
  <c r="O8" i="5"/>
  <c r="N8" i="5"/>
  <c r="Q7" i="5"/>
  <c r="P7" i="5"/>
  <c r="O7" i="5"/>
  <c r="N7" i="5"/>
  <c r="Q6" i="5"/>
  <c r="P6" i="5"/>
  <c r="O6" i="5"/>
  <c r="N6" i="5"/>
  <c r="Q5" i="5"/>
  <c r="P5" i="5"/>
  <c r="O5" i="5"/>
  <c r="N5" i="5"/>
  <c r="Q4" i="5"/>
  <c r="P4" i="5"/>
  <c r="O4" i="5"/>
  <c r="N4" i="5"/>
  <c r="R4" i="5"/>
  <c r="L40" i="1"/>
  <c r="L50" i="1"/>
  <c r="M41" i="1"/>
  <c r="M4" i="1"/>
  <c r="R33" i="5"/>
  <c r="R14" i="5"/>
  <c r="Y14" i="5"/>
  <c r="R8" i="5"/>
  <c r="Y8" i="5"/>
  <c r="R24" i="5"/>
  <c r="R23" i="5"/>
  <c r="R13" i="5"/>
  <c r="Y13" i="5"/>
  <c r="R69" i="5"/>
  <c r="S42" i="5"/>
  <c r="S61" i="5"/>
  <c r="S44" i="5"/>
  <c r="S70" i="5"/>
  <c r="S58" i="5"/>
  <c r="S43" i="5"/>
  <c r="S55" i="5"/>
  <c r="S62" i="5"/>
  <c r="S66" i="5"/>
  <c r="S51" i="5"/>
  <c r="S60" i="5"/>
  <c r="S67" i="5"/>
  <c r="S49" i="5"/>
  <c r="S52" i="5"/>
  <c r="S54" i="5"/>
  <c r="S65" i="5"/>
  <c r="S69" i="5"/>
  <c r="R34" i="5"/>
  <c r="R22" i="5"/>
  <c r="R12" i="5"/>
  <c r="R7" i="5"/>
  <c r="S5" i="5"/>
  <c r="S24" i="5"/>
  <c r="S27" i="5"/>
  <c r="S8" i="5"/>
  <c r="S29" i="5"/>
  <c r="S32" i="5"/>
  <c r="S10" i="5"/>
  <c r="S18" i="5"/>
  <c r="S6" i="5"/>
  <c r="S15" i="5"/>
  <c r="S11" i="5"/>
  <c r="S20" i="5"/>
  <c r="S28" i="5"/>
  <c r="S16" i="5"/>
  <c r="S25" i="5"/>
  <c r="S33" i="5"/>
  <c r="S19" i="5"/>
  <c r="S31" i="5"/>
  <c r="S35" i="5"/>
  <c r="S47" i="5"/>
  <c r="S41" i="5"/>
  <c r="S45" i="5"/>
  <c r="S48" i="5"/>
  <c r="S63" i="5"/>
  <c r="S9" i="5"/>
  <c r="S21" i="5"/>
  <c r="S53" i="5"/>
  <c r="S56" i="5"/>
  <c r="S57" i="5"/>
  <c r="S64" i="5"/>
  <c r="S59" i="5"/>
  <c r="S30" i="5"/>
  <c r="S14" i="5"/>
  <c r="S17" i="5"/>
  <c r="S26" i="5"/>
  <c r="S46" i="5"/>
  <c r="S50" i="5"/>
  <c r="S68" i="5"/>
  <c r="S71" i="5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41" i="4"/>
  <c r="L40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5" i="4"/>
  <c r="L4" i="4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41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5" i="3"/>
  <c r="L40" i="3"/>
  <c r="L4" i="3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41" i="2"/>
  <c r="L40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5" i="2"/>
  <c r="L4" i="2"/>
  <c r="S6" i="1"/>
  <c r="R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5" i="1"/>
  <c r="R5" i="1"/>
  <c r="L4" i="1"/>
  <c r="L41" i="1"/>
  <c r="L69" i="4"/>
  <c r="M68" i="4"/>
  <c r="N68" i="4"/>
  <c r="P68" i="4"/>
  <c r="O68" i="4"/>
  <c r="O69" i="4"/>
  <c r="P70" i="4"/>
  <c r="O67" i="4"/>
  <c r="N65" i="4"/>
  <c r="M69" i="4"/>
  <c r="L61" i="4"/>
  <c r="Q71" i="4"/>
  <c r="P71" i="4"/>
  <c r="O71" i="4"/>
  <c r="N71" i="4"/>
  <c r="M71" i="4"/>
  <c r="L71" i="4"/>
  <c r="Q70" i="4"/>
  <c r="O70" i="4"/>
  <c r="N70" i="4"/>
  <c r="M70" i="4"/>
  <c r="L70" i="4"/>
  <c r="Q69" i="4"/>
  <c r="P69" i="4"/>
  <c r="N69" i="4"/>
  <c r="Q68" i="4"/>
  <c r="L68" i="4"/>
  <c r="Q67" i="4"/>
  <c r="P67" i="4"/>
  <c r="N67" i="4"/>
  <c r="M67" i="4"/>
  <c r="L67" i="4"/>
  <c r="Q66" i="4"/>
  <c r="P66" i="4"/>
  <c r="O66" i="4"/>
  <c r="N66" i="4"/>
  <c r="M66" i="4"/>
  <c r="L66" i="4"/>
  <c r="Q65" i="4"/>
  <c r="P65" i="4"/>
  <c r="M65" i="4"/>
  <c r="L65" i="4"/>
  <c r="Q64" i="4"/>
  <c r="P64" i="4"/>
  <c r="O64" i="4"/>
  <c r="N64" i="4"/>
  <c r="Q63" i="4"/>
  <c r="P63" i="4"/>
  <c r="M63" i="4"/>
  <c r="L63" i="4"/>
  <c r="Q62" i="4"/>
  <c r="P62" i="4"/>
  <c r="O62" i="4"/>
  <c r="N62" i="4"/>
  <c r="M62" i="4"/>
  <c r="L62" i="4"/>
  <c r="Q61" i="4"/>
  <c r="P61" i="4"/>
  <c r="N61" i="4"/>
  <c r="M61" i="4"/>
  <c r="Q60" i="4"/>
  <c r="P60" i="4"/>
  <c r="O60" i="4"/>
  <c r="N60" i="4"/>
  <c r="M60" i="4"/>
  <c r="L60" i="4"/>
  <c r="Q59" i="4"/>
  <c r="P59" i="4"/>
  <c r="O59" i="4"/>
  <c r="N59" i="4"/>
  <c r="M59" i="4"/>
  <c r="L59" i="4"/>
  <c r="Q58" i="4"/>
  <c r="P58" i="4"/>
  <c r="O58" i="4"/>
  <c r="N58" i="4"/>
  <c r="M58" i="4"/>
  <c r="L58" i="4"/>
  <c r="Q57" i="4"/>
  <c r="P57" i="4"/>
  <c r="O57" i="4"/>
  <c r="N57" i="4"/>
  <c r="L57" i="4"/>
  <c r="Q56" i="4"/>
  <c r="P56" i="4"/>
  <c r="M56" i="4"/>
  <c r="L56" i="4"/>
  <c r="Q55" i="4"/>
  <c r="P55" i="4"/>
  <c r="O55" i="4"/>
  <c r="N55" i="4"/>
  <c r="M55" i="4"/>
  <c r="L55" i="4"/>
  <c r="Q54" i="4"/>
  <c r="P54" i="4"/>
  <c r="O54" i="4"/>
  <c r="N54" i="4"/>
  <c r="M54" i="4"/>
  <c r="L54" i="4"/>
  <c r="Q53" i="4"/>
  <c r="P53" i="4"/>
  <c r="O53" i="4"/>
  <c r="N53" i="4"/>
  <c r="M53" i="4"/>
  <c r="Q52" i="4"/>
  <c r="P52" i="4"/>
  <c r="N52" i="4"/>
  <c r="M52" i="4"/>
  <c r="L52" i="4"/>
  <c r="Q51" i="4"/>
  <c r="P51" i="4"/>
  <c r="O51" i="4"/>
  <c r="N51" i="4"/>
  <c r="M51" i="4"/>
  <c r="Q50" i="4"/>
  <c r="P50" i="4"/>
  <c r="O50" i="4"/>
  <c r="N50" i="4"/>
  <c r="M50" i="4"/>
  <c r="L50" i="4"/>
  <c r="Q49" i="4"/>
  <c r="P49" i="4"/>
  <c r="O49" i="4"/>
  <c r="M49" i="4"/>
  <c r="L49" i="4"/>
  <c r="Q48" i="4"/>
  <c r="P48" i="4"/>
  <c r="N48" i="4"/>
  <c r="M48" i="4"/>
  <c r="L48" i="4"/>
  <c r="Q47" i="4"/>
  <c r="P47" i="4"/>
  <c r="N47" i="4"/>
  <c r="M47" i="4"/>
  <c r="L47" i="4"/>
  <c r="Q46" i="4"/>
  <c r="P46" i="4"/>
  <c r="O46" i="4"/>
  <c r="N46" i="4"/>
  <c r="M46" i="4"/>
  <c r="L46" i="4"/>
  <c r="Q45" i="4"/>
  <c r="P45" i="4"/>
  <c r="N45" i="4"/>
  <c r="M45" i="4"/>
  <c r="O44" i="4"/>
  <c r="N44" i="4"/>
  <c r="L44" i="4"/>
  <c r="O43" i="4"/>
  <c r="M43" i="4"/>
  <c r="L43" i="4"/>
  <c r="O42" i="4"/>
  <c r="N42" i="4"/>
  <c r="M42" i="4"/>
  <c r="L42" i="4"/>
  <c r="O41" i="4"/>
  <c r="N41" i="4"/>
  <c r="M41" i="4"/>
  <c r="L41" i="4"/>
  <c r="O40" i="4"/>
  <c r="N40" i="4"/>
  <c r="M40" i="4"/>
  <c r="Q35" i="4"/>
  <c r="P35" i="4"/>
  <c r="O35" i="4"/>
  <c r="N35" i="4"/>
  <c r="M35" i="4"/>
  <c r="L35" i="4"/>
  <c r="Q34" i="4"/>
  <c r="P34" i="4"/>
  <c r="O34" i="4"/>
  <c r="N34" i="4"/>
  <c r="M34" i="4"/>
  <c r="L34" i="4"/>
  <c r="Q33" i="4"/>
  <c r="P33" i="4"/>
  <c r="O33" i="4"/>
  <c r="N33" i="4"/>
  <c r="M33" i="4"/>
  <c r="L33" i="4"/>
  <c r="Q32" i="4"/>
  <c r="P32" i="4"/>
  <c r="O32" i="4"/>
  <c r="N32" i="4"/>
  <c r="M32" i="4"/>
  <c r="L32" i="4"/>
  <c r="Q31" i="4"/>
  <c r="P31" i="4"/>
  <c r="O31" i="4"/>
  <c r="N31" i="4"/>
  <c r="M31" i="4"/>
  <c r="L31" i="4"/>
  <c r="Q30" i="4"/>
  <c r="P30" i="4"/>
  <c r="O30" i="4"/>
  <c r="N30" i="4"/>
  <c r="M30" i="4"/>
  <c r="L30" i="4"/>
  <c r="Q29" i="4"/>
  <c r="P29" i="4"/>
  <c r="O29" i="4"/>
  <c r="N29" i="4"/>
  <c r="M29" i="4"/>
  <c r="L29" i="4"/>
  <c r="Q28" i="4"/>
  <c r="P28" i="4"/>
  <c r="O28" i="4"/>
  <c r="N28" i="4"/>
  <c r="M28" i="4"/>
  <c r="L28" i="4"/>
  <c r="Q27" i="4"/>
  <c r="P27" i="4"/>
  <c r="O27" i="4"/>
  <c r="N27" i="4"/>
  <c r="M27" i="4"/>
  <c r="L27" i="4"/>
  <c r="Q26" i="4"/>
  <c r="P26" i="4"/>
  <c r="O26" i="4"/>
  <c r="N26" i="4"/>
  <c r="M26" i="4"/>
  <c r="L26" i="4"/>
  <c r="Q25" i="4"/>
  <c r="P25" i="4"/>
  <c r="O25" i="4"/>
  <c r="N25" i="4"/>
  <c r="M25" i="4"/>
  <c r="L25" i="4"/>
  <c r="Q24" i="4"/>
  <c r="P24" i="4"/>
  <c r="O24" i="4"/>
  <c r="N24" i="4"/>
  <c r="M24" i="4"/>
  <c r="L24" i="4"/>
  <c r="Q23" i="4"/>
  <c r="P23" i="4"/>
  <c r="O23" i="4"/>
  <c r="N23" i="4"/>
  <c r="M23" i="4"/>
  <c r="L23" i="4"/>
  <c r="Q22" i="4"/>
  <c r="P22" i="4"/>
  <c r="O22" i="4"/>
  <c r="N22" i="4"/>
  <c r="M22" i="4"/>
  <c r="L22" i="4"/>
  <c r="Q21" i="4"/>
  <c r="P21" i="4"/>
  <c r="O21" i="4"/>
  <c r="N21" i="4"/>
  <c r="M21" i="4"/>
  <c r="L21" i="4"/>
  <c r="Q20" i="4"/>
  <c r="P20" i="4"/>
  <c r="O20" i="4"/>
  <c r="N20" i="4"/>
  <c r="M20" i="4"/>
  <c r="L20" i="4"/>
  <c r="Q19" i="4"/>
  <c r="P19" i="4"/>
  <c r="O19" i="4"/>
  <c r="N19" i="4"/>
  <c r="M19" i="4"/>
  <c r="L19" i="4"/>
  <c r="Q18" i="4"/>
  <c r="P18" i="4"/>
  <c r="O18" i="4"/>
  <c r="N18" i="4"/>
  <c r="M18" i="4"/>
  <c r="L18" i="4"/>
  <c r="Q17" i="4"/>
  <c r="P17" i="4"/>
  <c r="O17" i="4"/>
  <c r="N17" i="4"/>
  <c r="M17" i="4"/>
  <c r="L17" i="4"/>
  <c r="Q16" i="4"/>
  <c r="P16" i="4"/>
  <c r="O16" i="4"/>
  <c r="N16" i="4"/>
  <c r="M16" i="4"/>
  <c r="L16" i="4"/>
  <c r="Q15" i="4"/>
  <c r="P15" i="4"/>
  <c r="O15" i="4"/>
  <c r="N15" i="4"/>
  <c r="M15" i="4"/>
  <c r="L15" i="4"/>
  <c r="Q14" i="4"/>
  <c r="P14" i="4"/>
  <c r="O14" i="4"/>
  <c r="N14" i="4"/>
  <c r="M14" i="4"/>
  <c r="L14" i="4"/>
  <c r="Q13" i="4"/>
  <c r="P13" i="4"/>
  <c r="O13" i="4"/>
  <c r="N13" i="4"/>
  <c r="M13" i="4"/>
  <c r="L13" i="4"/>
  <c r="Q12" i="4"/>
  <c r="P12" i="4"/>
  <c r="O12" i="4"/>
  <c r="N12" i="4"/>
  <c r="M12" i="4"/>
  <c r="L12" i="4"/>
  <c r="Q11" i="4"/>
  <c r="P11" i="4"/>
  <c r="O11" i="4"/>
  <c r="N11" i="4"/>
  <c r="M11" i="4"/>
  <c r="L11" i="4"/>
  <c r="Q10" i="4"/>
  <c r="P10" i="4"/>
  <c r="O10" i="4"/>
  <c r="N10" i="4"/>
  <c r="M10" i="4"/>
  <c r="L10" i="4"/>
  <c r="Q9" i="4"/>
  <c r="P9" i="4"/>
  <c r="O9" i="4"/>
  <c r="N9" i="4"/>
  <c r="M9" i="4"/>
  <c r="L9" i="4"/>
  <c r="O8" i="4"/>
  <c r="N8" i="4"/>
  <c r="M8" i="4"/>
  <c r="L8" i="4"/>
  <c r="O7" i="4"/>
  <c r="N7" i="4"/>
  <c r="M7" i="4"/>
  <c r="L7" i="4"/>
  <c r="O6" i="4"/>
  <c r="N6" i="4"/>
  <c r="M6" i="4"/>
  <c r="L6" i="4"/>
  <c r="O5" i="4"/>
  <c r="N5" i="4"/>
  <c r="M5" i="4"/>
  <c r="L5" i="4"/>
  <c r="O4" i="4"/>
  <c r="N4" i="4"/>
  <c r="M4" i="4"/>
  <c r="N54" i="3"/>
  <c r="P54" i="3"/>
  <c r="O53" i="3"/>
  <c r="M47" i="3"/>
  <c r="M46" i="3"/>
  <c r="Q71" i="3"/>
  <c r="P71" i="3"/>
  <c r="O71" i="3"/>
  <c r="N71" i="3"/>
  <c r="M71" i="3"/>
  <c r="L71" i="3"/>
  <c r="Q70" i="3"/>
  <c r="P70" i="3"/>
  <c r="O70" i="3"/>
  <c r="N70" i="3"/>
  <c r="M70" i="3"/>
  <c r="L70" i="3"/>
  <c r="Q69" i="3"/>
  <c r="P69" i="3"/>
  <c r="O69" i="3"/>
  <c r="N69" i="3"/>
  <c r="M69" i="3"/>
  <c r="L69" i="3"/>
  <c r="Q68" i="3"/>
  <c r="P68" i="3"/>
  <c r="O68" i="3"/>
  <c r="N68" i="3"/>
  <c r="M68" i="3"/>
  <c r="L68" i="3"/>
  <c r="Q67" i="3"/>
  <c r="P67" i="3"/>
  <c r="O67" i="3"/>
  <c r="N67" i="3"/>
  <c r="M67" i="3"/>
  <c r="L67" i="3"/>
  <c r="Q66" i="3"/>
  <c r="P66" i="3"/>
  <c r="O66" i="3"/>
  <c r="N66" i="3"/>
  <c r="M66" i="3"/>
  <c r="L66" i="3"/>
  <c r="Q65" i="3"/>
  <c r="P65" i="3"/>
  <c r="O65" i="3"/>
  <c r="N65" i="3"/>
  <c r="M65" i="3"/>
  <c r="L65" i="3"/>
  <c r="Q64" i="3"/>
  <c r="P64" i="3"/>
  <c r="O64" i="3"/>
  <c r="N64" i="3"/>
  <c r="M64" i="3"/>
  <c r="L64" i="3"/>
  <c r="Q63" i="3"/>
  <c r="P63" i="3"/>
  <c r="O63" i="3"/>
  <c r="N63" i="3"/>
  <c r="M63" i="3"/>
  <c r="L63" i="3"/>
  <c r="Q62" i="3"/>
  <c r="P62" i="3"/>
  <c r="O62" i="3"/>
  <c r="N62" i="3"/>
  <c r="M62" i="3"/>
  <c r="L62" i="3"/>
  <c r="Q61" i="3"/>
  <c r="P61" i="3"/>
  <c r="O61" i="3"/>
  <c r="N61" i="3"/>
  <c r="M61" i="3"/>
  <c r="L61" i="3"/>
  <c r="Q60" i="3"/>
  <c r="P60" i="3"/>
  <c r="O60" i="3"/>
  <c r="N60" i="3"/>
  <c r="M60" i="3"/>
  <c r="L60" i="3"/>
  <c r="Q59" i="3"/>
  <c r="P59" i="3"/>
  <c r="O59" i="3"/>
  <c r="N59" i="3"/>
  <c r="M59" i="3"/>
  <c r="L59" i="3"/>
  <c r="Q58" i="3"/>
  <c r="P58" i="3"/>
  <c r="O58" i="3"/>
  <c r="N58" i="3"/>
  <c r="M58" i="3"/>
  <c r="L58" i="3"/>
  <c r="Q57" i="3"/>
  <c r="P57" i="3"/>
  <c r="O57" i="3"/>
  <c r="N57" i="3"/>
  <c r="M57" i="3"/>
  <c r="L57" i="3"/>
  <c r="Q56" i="3"/>
  <c r="P56" i="3"/>
  <c r="O56" i="3"/>
  <c r="N56" i="3"/>
  <c r="M56" i="3"/>
  <c r="L56" i="3"/>
  <c r="Q55" i="3"/>
  <c r="P55" i="3"/>
  <c r="O55" i="3"/>
  <c r="R55" i="3"/>
  <c r="N55" i="3"/>
  <c r="M55" i="3"/>
  <c r="L55" i="3"/>
  <c r="Q54" i="3"/>
  <c r="O54" i="3"/>
  <c r="M54" i="3"/>
  <c r="L54" i="3"/>
  <c r="Q53" i="3"/>
  <c r="P53" i="3"/>
  <c r="N53" i="3"/>
  <c r="M53" i="3"/>
  <c r="L53" i="3"/>
  <c r="Q52" i="3"/>
  <c r="P52" i="3"/>
  <c r="O52" i="3"/>
  <c r="N52" i="3"/>
  <c r="M52" i="3"/>
  <c r="L52" i="3"/>
  <c r="Q51" i="3"/>
  <c r="P51" i="3"/>
  <c r="O51" i="3"/>
  <c r="N51" i="3"/>
  <c r="M51" i="3"/>
  <c r="L51" i="3"/>
  <c r="Q50" i="3"/>
  <c r="P50" i="3"/>
  <c r="O50" i="3"/>
  <c r="N50" i="3"/>
  <c r="M50" i="3"/>
  <c r="L50" i="3"/>
  <c r="Q49" i="3"/>
  <c r="P49" i="3"/>
  <c r="O49" i="3"/>
  <c r="N49" i="3"/>
  <c r="M49" i="3"/>
  <c r="L49" i="3"/>
  <c r="Q48" i="3"/>
  <c r="P48" i="3"/>
  <c r="O48" i="3"/>
  <c r="N48" i="3"/>
  <c r="M48" i="3"/>
  <c r="L48" i="3"/>
  <c r="Q47" i="3"/>
  <c r="P47" i="3"/>
  <c r="O47" i="3"/>
  <c r="N47" i="3"/>
  <c r="L47" i="3"/>
  <c r="Q46" i="3"/>
  <c r="P46" i="3"/>
  <c r="O46" i="3"/>
  <c r="N46" i="3"/>
  <c r="L46" i="3"/>
  <c r="Q45" i="3"/>
  <c r="P45" i="3"/>
  <c r="O45" i="3"/>
  <c r="N45" i="3"/>
  <c r="M45" i="3"/>
  <c r="L45" i="3"/>
  <c r="O44" i="3"/>
  <c r="N44" i="3"/>
  <c r="M44" i="3"/>
  <c r="L44" i="3"/>
  <c r="O43" i="3"/>
  <c r="N43" i="3"/>
  <c r="M43" i="3"/>
  <c r="L43" i="3"/>
  <c r="O42" i="3"/>
  <c r="N42" i="3"/>
  <c r="M42" i="3"/>
  <c r="L42" i="3"/>
  <c r="R42" i="3"/>
  <c r="O41" i="3"/>
  <c r="N41" i="3"/>
  <c r="M41" i="3"/>
  <c r="L41" i="3"/>
  <c r="O40" i="3"/>
  <c r="N40" i="3"/>
  <c r="M40" i="3"/>
  <c r="R40" i="3"/>
  <c r="Q35" i="3"/>
  <c r="P35" i="3"/>
  <c r="O35" i="3"/>
  <c r="N35" i="3"/>
  <c r="M35" i="3"/>
  <c r="L35" i="3"/>
  <c r="Q34" i="3"/>
  <c r="P34" i="3"/>
  <c r="O34" i="3"/>
  <c r="N34" i="3"/>
  <c r="M34" i="3"/>
  <c r="L34" i="3"/>
  <c r="Q33" i="3"/>
  <c r="P33" i="3"/>
  <c r="O33" i="3"/>
  <c r="N33" i="3"/>
  <c r="M33" i="3"/>
  <c r="L33" i="3"/>
  <c r="Q32" i="3"/>
  <c r="P32" i="3"/>
  <c r="O32" i="3"/>
  <c r="N32" i="3"/>
  <c r="M32" i="3"/>
  <c r="L32" i="3"/>
  <c r="Q31" i="3"/>
  <c r="P31" i="3"/>
  <c r="O31" i="3"/>
  <c r="N31" i="3"/>
  <c r="M31" i="3"/>
  <c r="L31" i="3"/>
  <c r="Q30" i="3"/>
  <c r="P30" i="3"/>
  <c r="O30" i="3"/>
  <c r="N30" i="3"/>
  <c r="M30" i="3"/>
  <c r="L30" i="3"/>
  <c r="Q29" i="3"/>
  <c r="P29" i="3"/>
  <c r="O29" i="3"/>
  <c r="N29" i="3"/>
  <c r="M29" i="3"/>
  <c r="L29" i="3"/>
  <c r="Q28" i="3"/>
  <c r="P28" i="3"/>
  <c r="O28" i="3"/>
  <c r="N28" i="3"/>
  <c r="M28" i="3"/>
  <c r="L28" i="3"/>
  <c r="Q27" i="3"/>
  <c r="P27" i="3"/>
  <c r="O27" i="3"/>
  <c r="N27" i="3"/>
  <c r="M27" i="3"/>
  <c r="L27" i="3"/>
  <c r="Q26" i="3"/>
  <c r="P26" i="3"/>
  <c r="O26" i="3"/>
  <c r="N26" i="3"/>
  <c r="M26" i="3"/>
  <c r="L26" i="3"/>
  <c r="Q25" i="3"/>
  <c r="P25" i="3"/>
  <c r="O25" i="3"/>
  <c r="N25" i="3"/>
  <c r="M25" i="3"/>
  <c r="L25" i="3"/>
  <c r="Q24" i="3"/>
  <c r="P24" i="3"/>
  <c r="O24" i="3"/>
  <c r="N24" i="3"/>
  <c r="M24" i="3"/>
  <c r="L24" i="3"/>
  <c r="Q23" i="3"/>
  <c r="P23" i="3"/>
  <c r="O23" i="3"/>
  <c r="N23" i="3"/>
  <c r="M23" i="3"/>
  <c r="L23" i="3"/>
  <c r="Q22" i="3"/>
  <c r="P22" i="3"/>
  <c r="O22" i="3"/>
  <c r="N22" i="3"/>
  <c r="M22" i="3"/>
  <c r="L22" i="3"/>
  <c r="Q21" i="3"/>
  <c r="P21" i="3"/>
  <c r="O21" i="3"/>
  <c r="N21" i="3"/>
  <c r="M21" i="3"/>
  <c r="L21" i="3"/>
  <c r="Q20" i="3"/>
  <c r="P20" i="3"/>
  <c r="O20" i="3"/>
  <c r="N20" i="3"/>
  <c r="M20" i="3"/>
  <c r="L20" i="3"/>
  <c r="Q19" i="3"/>
  <c r="P19" i="3"/>
  <c r="O19" i="3"/>
  <c r="N19" i="3"/>
  <c r="M19" i="3"/>
  <c r="L19" i="3"/>
  <c r="Q18" i="3"/>
  <c r="P18" i="3"/>
  <c r="O18" i="3"/>
  <c r="N18" i="3"/>
  <c r="M18" i="3"/>
  <c r="L18" i="3"/>
  <c r="Q17" i="3"/>
  <c r="P17" i="3"/>
  <c r="O17" i="3"/>
  <c r="N17" i="3"/>
  <c r="M17" i="3"/>
  <c r="L17" i="3"/>
  <c r="Q16" i="3"/>
  <c r="P16" i="3"/>
  <c r="O16" i="3"/>
  <c r="N16" i="3"/>
  <c r="M16" i="3"/>
  <c r="L16" i="3"/>
  <c r="Q15" i="3"/>
  <c r="P15" i="3"/>
  <c r="O15" i="3"/>
  <c r="N15" i="3"/>
  <c r="M15" i="3"/>
  <c r="L15" i="3"/>
  <c r="Q14" i="3"/>
  <c r="P14" i="3"/>
  <c r="O14" i="3"/>
  <c r="N14" i="3"/>
  <c r="M14" i="3"/>
  <c r="L14" i="3"/>
  <c r="Q13" i="3"/>
  <c r="P13" i="3"/>
  <c r="O13" i="3"/>
  <c r="N13" i="3"/>
  <c r="M13" i="3"/>
  <c r="L13" i="3"/>
  <c r="Q12" i="3"/>
  <c r="P12" i="3"/>
  <c r="O12" i="3"/>
  <c r="N12" i="3"/>
  <c r="M12" i="3"/>
  <c r="L12" i="3"/>
  <c r="Q11" i="3"/>
  <c r="P11" i="3"/>
  <c r="O11" i="3"/>
  <c r="N11" i="3"/>
  <c r="M11" i="3"/>
  <c r="L11" i="3"/>
  <c r="Q10" i="3"/>
  <c r="P10" i="3"/>
  <c r="O10" i="3"/>
  <c r="N10" i="3"/>
  <c r="M10" i="3"/>
  <c r="L10" i="3"/>
  <c r="Q9" i="3"/>
  <c r="P9" i="3"/>
  <c r="O9" i="3"/>
  <c r="N9" i="3"/>
  <c r="M9" i="3"/>
  <c r="L9" i="3"/>
  <c r="O8" i="3"/>
  <c r="N8" i="3"/>
  <c r="M8" i="3"/>
  <c r="L8" i="3"/>
  <c r="O7" i="3"/>
  <c r="N7" i="3"/>
  <c r="M7" i="3"/>
  <c r="L7" i="3"/>
  <c r="O6" i="3"/>
  <c r="N6" i="3"/>
  <c r="M6" i="3"/>
  <c r="L6" i="3"/>
  <c r="O5" i="3"/>
  <c r="N5" i="3"/>
  <c r="M5" i="3"/>
  <c r="L5" i="3"/>
  <c r="O4" i="3"/>
  <c r="N4" i="3"/>
  <c r="M4" i="3"/>
  <c r="R4" i="3"/>
  <c r="Q71" i="2"/>
  <c r="P71" i="2"/>
  <c r="O71" i="2"/>
  <c r="N71" i="2"/>
  <c r="M71" i="2"/>
  <c r="L71" i="2"/>
  <c r="Q70" i="2"/>
  <c r="P70" i="2"/>
  <c r="O70" i="2"/>
  <c r="N70" i="2"/>
  <c r="M70" i="2"/>
  <c r="L70" i="2"/>
  <c r="Q69" i="2"/>
  <c r="P69" i="2"/>
  <c r="O69" i="2"/>
  <c r="N69" i="2"/>
  <c r="M69" i="2"/>
  <c r="L69" i="2"/>
  <c r="Q68" i="2"/>
  <c r="P68" i="2"/>
  <c r="O68" i="2"/>
  <c r="N68" i="2"/>
  <c r="M68" i="2"/>
  <c r="L68" i="2"/>
  <c r="Q67" i="2"/>
  <c r="P67" i="2"/>
  <c r="O67" i="2"/>
  <c r="N67" i="2"/>
  <c r="M67" i="2"/>
  <c r="L67" i="2"/>
  <c r="Q66" i="2"/>
  <c r="P66" i="2"/>
  <c r="O66" i="2"/>
  <c r="N66" i="2"/>
  <c r="M66" i="2"/>
  <c r="L66" i="2"/>
  <c r="Q65" i="2"/>
  <c r="P65" i="2"/>
  <c r="O65" i="2"/>
  <c r="N65" i="2"/>
  <c r="M65" i="2"/>
  <c r="L65" i="2"/>
  <c r="Q64" i="2"/>
  <c r="P64" i="2"/>
  <c r="O64" i="2"/>
  <c r="N64" i="2"/>
  <c r="M64" i="2"/>
  <c r="L64" i="2"/>
  <c r="Q63" i="2"/>
  <c r="P63" i="2"/>
  <c r="O63" i="2"/>
  <c r="N63" i="2"/>
  <c r="M63" i="2"/>
  <c r="L63" i="2"/>
  <c r="Q62" i="2"/>
  <c r="P62" i="2"/>
  <c r="O62" i="2"/>
  <c r="N62" i="2"/>
  <c r="M62" i="2"/>
  <c r="L62" i="2"/>
  <c r="Q61" i="2"/>
  <c r="P61" i="2"/>
  <c r="O61" i="2"/>
  <c r="N61" i="2"/>
  <c r="M61" i="2"/>
  <c r="L61" i="2"/>
  <c r="Q60" i="2"/>
  <c r="P60" i="2"/>
  <c r="O60" i="2"/>
  <c r="N60" i="2"/>
  <c r="M60" i="2"/>
  <c r="L60" i="2"/>
  <c r="Q59" i="2"/>
  <c r="P59" i="2"/>
  <c r="O59" i="2"/>
  <c r="N59" i="2"/>
  <c r="M59" i="2"/>
  <c r="L59" i="2"/>
  <c r="Q58" i="2"/>
  <c r="P58" i="2"/>
  <c r="O58" i="2"/>
  <c r="N58" i="2"/>
  <c r="M58" i="2"/>
  <c r="L58" i="2"/>
  <c r="Q57" i="2"/>
  <c r="P57" i="2"/>
  <c r="O57" i="2"/>
  <c r="N57" i="2"/>
  <c r="M57" i="2"/>
  <c r="L57" i="2"/>
  <c r="Q56" i="2"/>
  <c r="P56" i="2"/>
  <c r="O56" i="2"/>
  <c r="N56" i="2"/>
  <c r="M56" i="2"/>
  <c r="L56" i="2"/>
  <c r="Q55" i="2"/>
  <c r="P55" i="2"/>
  <c r="O55" i="2"/>
  <c r="N55" i="2"/>
  <c r="M55" i="2"/>
  <c r="L55" i="2"/>
  <c r="Q54" i="2"/>
  <c r="P54" i="2"/>
  <c r="O54" i="2"/>
  <c r="N54" i="2"/>
  <c r="M54" i="2"/>
  <c r="L54" i="2"/>
  <c r="Q53" i="2"/>
  <c r="P53" i="2"/>
  <c r="O53" i="2"/>
  <c r="N53" i="2"/>
  <c r="M53" i="2"/>
  <c r="L53" i="2"/>
  <c r="Q52" i="2"/>
  <c r="P52" i="2"/>
  <c r="O52" i="2"/>
  <c r="N52" i="2"/>
  <c r="M52" i="2"/>
  <c r="L52" i="2"/>
  <c r="R52" i="2"/>
  <c r="Q51" i="2"/>
  <c r="P51" i="2"/>
  <c r="O51" i="2"/>
  <c r="N51" i="2"/>
  <c r="M51" i="2"/>
  <c r="L51" i="2"/>
  <c r="Q50" i="2"/>
  <c r="P50" i="2"/>
  <c r="O50" i="2"/>
  <c r="N50" i="2"/>
  <c r="M50" i="2"/>
  <c r="L50" i="2"/>
  <c r="Q49" i="2"/>
  <c r="P49" i="2"/>
  <c r="O49" i="2"/>
  <c r="N49" i="2"/>
  <c r="M49" i="2"/>
  <c r="L49" i="2"/>
  <c r="Q48" i="2"/>
  <c r="P48" i="2"/>
  <c r="O48" i="2"/>
  <c r="N48" i="2"/>
  <c r="M48" i="2"/>
  <c r="L48" i="2"/>
  <c r="Q47" i="2"/>
  <c r="P47" i="2"/>
  <c r="O47" i="2"/>
  <c r="N47" i="2"/>
  <c r="M47" i="2"/>
  <c r="L47" i="2"/>
  <c r="R47" i="2"/>
  <c r="Q46" i="2"/>
  <c r="P46" i="2"/>
  <c r="O46" i="2"/>
  <c r="N46" i="2"/>
  <c r="M46" i="2"/>
  <c r="L46" i="2"/>
  <c r="Q45" i="2"/>
  <c r="P45" i="2"/>
  <c r="O45" i="2"/>
  <c r="N45" i="2"/>
  <c r="M45" i="2"/>
  <c r="L45" i="2"/>
  <c r="O44" i="2"/>
  <c r="N44" i="2"/>
  <c r="M44" i="2"/>
  <c r="L44" i="2"/>
  <c r="O43" i="2"/>
  <c r="N43" i="2"/>
  <c r="M43" i="2"/>
  <c r="L43" i="2"/>
  <c r="O42" i="2"/>
  <c r="N42" i="2"/>
  <c r="M42" i="2"/>
  <c r="L42" i="2"/>
  <c r="O41" i="2"/>
  <c r="N41" i="2"/>
  <c r="M41" i="2"/>
  <c r="L41" i="2"/>
  <c r="R41" i="2"/>
  <c r="O40" i="2"/>
  <c r="N40" i="2"/>
  <c r="M40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9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M59" i="1"/>
  <c r="L59" i="1"/>
  <c r="M40" i="1"/>
  <c r="M43" i="1"/>
  <c r="L44" i="1"/>
  <c r="M45" i="1"/>
  <c r="L45" i="1"/>
  <c r="Q71" i="1"/>
  <c r="P71" i="1"/>
  <c r="O71" i="1"/>
  <c r="N71" i="1"/>
  <c r="M71" i="1"/>
  <c r="L71" i="1"/>
  <c r="Q70" i="1"/>
  <c r="P70" i="1"/>
  <c r="O70" i="1"/>
  <c r="N70" i="1"/>
  <c r="M70" i="1"/>
  <c r="L70" i="1"/>
  <c r="Q69" i="1"/>
  <c r="P69" i="1"/>
  <c r="O69" i="1"/>
  <c r="N69" i="1"/>
  <c r="M69" i="1"/>
  <c r="L69" i="1"/>
  <c r="Q68" i="1"/>
  <c r="P68" i="1"/>
  <c r="O68" i="1"/>
  <c r="N68" i="1"/>
  <c r="M68" i="1"/>
  <c r="L68" i="1"/>
  <c r="Q67" i="1"/>
  <c r="P67" i="1"/>
  <c r="O67" i="1"/>
  <c r="N67" i="1"/>
  <c r="M67" i="1"/>
  <c r="L67" i="1"/>
  <c r="Q66" i="1"/>
  <c r="P66" i="1"/>
  <c r="O66" i="1"/>
  <c r="N66" i="1"/>
  <c r="M66" i="1"/>
  <c r="L66" i="1"/>
  <c r="Q65" i="1"/>
  <c r="P65" i="1"/>
  <c r="O65" i="1"/>
  <c r="N65" i="1"/>
  <c r="M65" i="1"/>
  <c r="L65" i="1"/>
  <c r="Q64" i="1"/>
  <c r="P64" i="1"/>
  <c r="O64" i="1"/>
  <c r="N64" i="1"/>
  <c r="M64" i="1"/>
  <c r="L64" i="1"/>
  <c r="Q63" i="1"/>
  <c r="P63" i="1"/>
  <c r="O63" i="1"/>
  <c r="N63" i="1"/>
  <c r="M63" i="1"/>
  <c r="L63" i="1"/>
  <c r="Q62" i="1"/>
  <c r="P62" i="1"/>
  <c r="O62" i="1"/>
  <c r="N62" i="1"/>
  <c r="M62" i="1"/>
  <c r="L62" i="1"/>
  <c r="Q61" i="1"/>
  <c r="P61" i="1"/>
  <c r="O61" i="1"/>
  <c r="N61" i="1"/>
  <c r="M61" i="1"/>
  <c r="L61" i="1"/>
  <c r="Q60" i="1"/>
  <c r="P60" i="1"/>
  <c r="O60" i="1"/>
  <c r="N60" i="1"/>
  <c r="M60" i="1"/>
  <c r="L60" i="1"/>
  <c r="Q59" i="1"/>
  <c r="P59" i="1"/>
  <c r="O59" i="1"/>
  <c r="N59" i="1"/>
  <c r="Q58" i="1"/>
  <c r="P58" i="1"/>
  <c r="O58" i="1"/>
  <c r="N58" i="1"/>
  <c r="M58" i="1"/>
  <c r="L58" i="1"/>
  <c r="Q57" i="1"/>
  <c r="P57" i="1"/>
  <c r="O57" i="1"/>
  <c r="N57" i="1"/>
  <c r="M57" i="1"/>
  <c r="L57" i="1"/>
  <c r="Q56" i="1"/>
  <c r="P56" i="1"/>
  <c r="O56" i="1"/>
  <c r="N56" i="1"/>
  <c r="M56" i="1"/>
  <c r="L56" i="1"/>
  <c r="Q55" i="1"/>
  <c r="P55" i="1"/>
  <c r="O55" i="1"/>
  <c r="N55" i="1"/>
  <c r="M55" i="1"/>
  <c r="L55" i="1"/>
  <c r="Q54" i="1"/>
  <c r="P54" i="1"/>
  <c r="O54" i="1"/>
  <c r="N54" i="1"/>
  <c r="M54" i="1"/>
  <c r="L54" i="1"/>
  <c r="Q53" i="1"/>
  <c r="P53" i="1"/>
  <c r="O53" i="1"/>
  <c r="N53" i="1"/>
  <c r="M53" i="1"/>
  <c r="L53" i="1"/>
  <c r="Q52" i="1"/>
  <c r="P52" i="1"/>
  <c r="O52" i="1"/>
  <c r="N52" i="1"/>
  <c r="M52" i="1"/>
  <c r="L52" i="1"/>
  <c r="Q51" i="1"/>
  <c r="P51" i="1"/>
  <c r="O51" i="1"/>
  <c r="N51" i="1"/>
  <c r="M51" i="1"/>
  <c r="L51" i="1"/>
  <c r="Q50" i="1"/>
  <c r="P50" i="1"/>
  <c r="O50" i="1"/>
  <c r="N50" i="1"/>
  <c r="M50" i="1"/>
  <c r="Q49" i="1"/>
  <c r="P49" i="1"/>
  <c r="O49" i="1"/>
  <c r="N49" i="1"/>
  <c r="M49" i="1"/>
  <c r="L49" i="1"/>
  <c r="Q48" i="1"/>
  <c r="P48" i="1"/>
  <c r="O48" i="1"/>
  <c r="N48" i="1"/>
  <c r="M48" i="1"/>
  <c r="L48" i="1"/>
  <c r="Q47" i="1"/>
  <c r="P47" i="1"/>
  <c r="O47" i="1"/>
  <c r="N47" i="1"/>
  <c r="M47" i="1"/>
  <c r="L47" i="1"/>
  <c r="Q46" i="1"/>
  <c r="P46" i="1"/>
  <c r="O46" i="1"/>
  <c r="N46" i="1"/>
  <c r="M46" i="1"/>
  <c r="L46" i="1"/>
  <c r="Q45" i="1"/>
  <c r="P45" i="1"/>
  <c r="O45" i="1"/>
  <c r="N45" i="1"/>
  <c r="Q44" i="1"/>
  <c r="P44" i="1"/>
  <c r="O44" i="1"/>
  <c r="N44" i="1"/>
  <c r="M44" i="1"/>
  <c r="Q43" i="1"/>
  <c r="P43" i="1"/>
  <c r="O43" i="1"/>
  <c r="N43" i="1"/>
  <c r="L43" i="1"/>
  <c r="Q42" i="1"/>
  <c r="P42" i="1"/>
  <c r="O42" i="1"/>
  <c r="N42" i="1"/>
  <c r="M42" i="1"/>
  <c r="L42" i="1"/>
  <c r="Q41" i="1"/>
  <c r="P41" i="1"/>
  <c r="O41" i="1"/>
  <c r="N41" i="1"/>
  <c r="Q40" i="1"/>
  <c r="P40" i="1"/>
  <c r="O40" i="1"/>
  <c r="N40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P5" i="1"/>
  <c r="Q5" i="1"/>
  <c r="P6" i="1"/>
  <c r="Q6" i="1"/>
  <c r="P7" i="1"/>
  <c r="Q7" i="1"/>
  <c r="P8" i="1"/>
  <c r="Q8" i="1"/>
  <c r="Q4" i="1"/>
  <c r="P4" i="1"/>
  <c r="N5" i="1"/>
  <c r="O5" i="1"/>
  <c r="N6" i="1"/>
  <c r="O6" i="1"/>
  <c r="N7" i="1"/>
  <c r="O7" i="1"/>
  <c r="N8" i="1"/>
  <c r="O8" i="1"/>
  <c r="N9" i="1"/>
  <c r="O9" i="1"/>
  <c r="P9" i="1"/>
  <c r="Q9" i="1"/>
  <c r="N10" i="1"/>
  <c r="O10" i="1"/>
  <c r="P10" i="1"/>
  <c r="Q10" i="1"/>
  <c r="N11" i="1"/>
  <c r="O11" i="1"/>
  <c r="P11" i="1"/>
  <c r="Q11" i="1"/>
  <c r="N12" i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N16" i="1"/>
  <c r="O16" i="1"/>
  <c r="P16" i="1"/>
  <c r="Q16" i="1"/>
  <c r="N17" i="1"/>
  <c r="O17" i="1"/>
  <c r="P17" i="1"/>
  <c r="Q17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N30" i="1"/>
  <c r="O30" i="1"/>
  <c r="P30" i="1"/>
  <c r="Q30" i="1"/>
  <c r="N31" i="1"/>
  <c r="O31" i="1"/>
  <c r="P31" i="1"/>
  <c r="Q31" i="1"/>
  <c r="N32" i="1"/>
  <c r="O32" i="1"/>
  <c r="P32" i="1"/>
  <c r="Q32" i="1"/>
  <c r="N33" i="1"/>
  <c r="O33" i="1"/>
  <c r="P33" i="1"/>
  <c r="Q33" i="1"/>
  <c r="N34" i="1"/>
  <c r="O34" i="1"/>
  <c r="P34" i="1"/>
  <c r="Q34" i="1"/>
  <c r="N35" i="1"/>
  <c r="O35" i="1"/>
  <c r="P35" i="1"/>
  <c r="Q35" i="1"/>
  <c r="O4" i="1"/>
  <c r="N4" i="1"/>
  <c r="S13" i="5"/>
  <c r="S22" i="5"/>
  <c r="S34" i="5"/>
  <c r="S7" i="5"/>
  <c r="Y7" i="5"/>
  <c r="S12" i="5"/>
  <c r="Y12" i="5"/>
  <c r="S23" i="5"/>
  <c r="R60" i="3"/>
  <c r="R50" i="3"/>
  <c r="R56" i="3"/>
  <c r="R61" i="3"/>
  <c r="R66" i="3"/>
  <c r="R45" i="3"/>
  <c r="R42" i="2"/>
  <c r="R8" i="3"/>
  <c r="R41" i="3"/>
  <c r="R51" i="3"/>
  <c r="R70" i="3"/>
  <c r="R65" i="3"/>
  <c r="R60" i="2"/>
  <c r="R65" i="2"/>
  <c r="R6" i="3"/>
  <c r="R12" i="3"/>
  <c r="R17" i="3"/>
  <c r="R22" i="3"/>
  <c r="R27" i="3"/>
  <c r="R32" i="3"/>
  <c r="R16" i="3"/>
  <c r="R31" i="3"/>
  <c r="R49" i="3"/>
  <c r="R54" i="3"/>
  <c r="R62" i="3"/>
  <c r="R11" i="3"/>
  <c r="R21" i="3"/>
  <c r="R26" i="3"/>
  <c r="R69" i="3"/>
  <c r="R10" i="3"/>
  <c r="R15" i="3"/>
  <c r="R20" i="3"/>
  <c r="R25" i="3"/>
  <c r="R30" i="3"/>
  <c r="R35" i="3"/>
  <c r="R59" i="3"/>
  <c r="R46" i="3"/>
  <c r="R64" i="3"/>
  <c r="R71" i="3"/>
  <c r="R9" i="3"/>
  <c r="R14" i="3"/>
  <c r="R19" i="3"/>
  <c r="R24" i="3"/>
  <c r="R29" i="3"/>
  <c r="R34" i="3"/>
  <c r="R44" i="3"/>
  <c r="R58" i="3"/>
  <c r="R68" i="3"/>
  <c r="R48" i="3"/>
  <c r="R63" i="3"/>
  <c r="R53" i="3"/>
  <c r="R57" i="3"/>
  <c r="R5" i="3"/>
  <c r="R13" i="3"/>
  <c r="R18" i="3"/>
  <c r="R23" i="3"/>
  <c r="R28" i="3"/>
  <c r="R33" i="3"/>
  <c r="R7" i="3"/>
  <c r="R43" i="3"/>
  <c r="R47" i="3"/>
  <c r="R52" i="3"/>
  <c r="R67" i="3"/>
  <c r="R50" i="2"/>
  <c r="R55" i="2"/>
  <c r="R45" i="2"/>
  <c r="R58" i="2"/>
  <c r="R46" i="2"/>
  <c r="R44" i="2"/>
  <c r="R51" i="2"/>
  <c r="R70" i="2"/>
  <c r="R40" i="2"/>
  <c r="R49" i="2"/>
  <c r="R56" i="2"/>
  <c r="R61" i="2"/>
  <c r="R48" i="2"/>
  <c r="R66" i="2"/>
  <c r="R71" i="2"/>
  <c r="R63" i="2"/>
  <c r="R68" i="2"/>
  <c r="R43" i="2"/>
  <c r="R53" i="2"/>
  <c r="R6" i="4"/>
  <c r="R12" i="4"/>
  <c r="R17" i="4"/>
  <c r="R22" i="4"/>
  <c r="R27" i="4"/>
  <c r="R32" i="4"/>
  <c r="O48" i="4"/>
  <c r="R48" i="4"/>
  <c r="O63" i="4"/>
  <c r="R42" i="4"/>
  <c r="R50" i="4"/>
  <c r="O45" i="4"/>
  <c r="O52" i="4"/>
  <c r="O61" i="4"/>
  <c r="O65" i="4"/>
  <c r="R65" i="4"/>
  <c r="O47" i="4"/>
  <c r="R47" i="4"/>
  <c r="O56" i="4"/>
  <c r="R71" i="4"/>
  <c r="R40" i="4"/>
  <c r="R70" i="4"/>
  <c r="N43" i="4"/>
  <c r="R43" i="4"/>
  <c r="N49" i="4"/>
  <c r="N56" i="4"/>
  <c r="N63" i="4"/>
  <c r="R8" i="4"/>
  <c r="R41" i="4"/>
  <c r="R46" i="4"/>
  <c r="R4" i="4"/>
  <c r="M44" i="4"/>
  <c r="R44" i="4"/>
  <c r="R55" i="4"/>
  <c r="R60" i="4"/>
  <c r="R67" i="4"/>
  <c r="R62" i="4"/>
  <c r="R61" i="4"/>
  <c r="R52" i="4"/>
  <c r="M57" i="4"/>
  <c r="R57" i="4"/>
  <c r="M64" i="4"/>
  <c r="R5" i="4"/>
  <c r="R13" i="4"/>
  <c r="R18" i="4"/>
  <c r="R23" i="4"/>
  <c r="R28" i="4"/>
  <c r="R33" i="4"/>
  <c r="R66" i="4"/>
  <c r="R7" i="4"/>
  <c r="R11" i="4"/>
  <c r="R21" i="4"/>
  <c r="R31" i="4"/>
  <c r="R69" i="4"/>
  <c r="R16" i="4"/>
  <c r="R26" i="4"/>
  <c r="R59" i="4"/>
  <c r="R58" i="4"/>
  <c r="R10" i="4"/>
  <c r="R15" i="4"/>
  <c r="R25" i="4"/>
  <c r="R30" i="4"/>
  <c r="R35" i="4"/>
  <c r="R9" i="4"/>
  <c r="R14" i="4"/>
  <c r="R19" i="4"/>
  <c r="R24" i="4"/>
  <c r="R29" i="4"/>
  <c r="R34" i="4"/>
  <c r="L51" i="4"/>
  <c r="R51" i="4"/>
  <c r="L64" i="4"/>
  <c r="R20" i="4"/>
  <c r="R49" i="4"/>
  <c r="R68" i="4"/>
  <c r="L45" i="4"/>
  <c r="R45" i="4"/>
  <c r="L53" i="4"/>
  <c r="R53" i="4"/>
  <c r="R54" i="4"/>
  <c r="R54" i="2"/>
  <c r="R59" i="2"/>
  <c r="R64" i="2"/>
  <c r="R69" i="2"/>
  <c r="R57" i="2"/>
  <c r="R62" i="2"/>
  <c r="R67" i="2"/>
  <c r="R17" i="2"/>
  <c r="R7" i="2"/>
  <c r="R12" i="2"/>
  <c r="R22" i="2"/>
  <c r="R32" i="2"/>
  <c r="R4" i="2"/>
  <c r="R9" i="2"/>
  <c r="R14" i="2"/>
  <c r="R19" i="2"/>
  <c r="R24" i="2"/>
  <c r="R29" i="2"/>
  <c r="R34" i="2"/>
  <c r="R6" i="2"/>
  <c r="R11" i="2"/>
  <c r="R16" i="2"/>
  <c r="R21" i="2"/>
  <c r="R26" i="2"/>
  <c r="R31" i="2"/>
  <c r="R8" i="2"/>
  <c r="R13" i="2"/>
  <c r="R18" i="2"/>
  <c r="R23" i="2"/>
  <c r="R28" i="2"/>
  <c r="R33" i="2"/>
  <c r="R62" i="1"/>
  <c r="R67" i="1"/>
  <c r="R45" i="1"/>
  <c r="R52" i="1"/>
  <c r="R57" i="1"/>
  <c r="R68" i="1"/>
  <c r="R27" i="2"/>
  <c r="R5" i="2"/>
  <c r="R10" i="2"/>
  <c r="R15" i="2"/>
  <c r="R20" i="2"/>
  <c r="R25" i="2"/>
  <c r="R30" i="2"/>
  <c r="R35" i="2"/>
  <c r="R58" i="1"/>
  <c r="R60" i="1"/>
  <c r="R55" i="1"/>
  <c r="R50" i="1"/>
  <c r="R43" i="1"/>
  <c r="R41" i="1"/>
  <c r="R42" i="1"/>
  <c r="R46" i="1"/>
  <c r="R70" i="1"/>
  <c r="R65" i="1"/>
  <c r="R51" i="1"/>
  <c r="R40" i="1"/>
  <c r="R56" i="1"/>
  <c r="R61" i="1"/>
  <c r="R66" i="1"/>
  <c r="R71" i="1"/>
  <c r="R59" i="1"/>
  <c r="R48" i="1"/>
  <c r="R64" i="1"/>
  <c r="R53" i="1"/>
  <c r="R69" i="1"/>
  <c r="R49" i="1"/>
  <c r="R44" i="1"/>
  <c r="R54" i="1"/>
  <c r="R47" i="1"/>
  <c r="R63" i="1"/>
  <c r="R31" i="1"/>
  <c r="R21" i="1"/>
  <c r="R29" i="1"/>
  <c r="R20" i="1"/>
  <c r="R4" i="1"/>
  <c r="R11" i="1"/>
  <c r="R19" i="1"/>
  <c r="R9" i="1"/>
  <c r="R30" i="1"/>
  <c r="R10" i="1"/>
  <c r="R18" i="1"/>
  <c r="R35" i="1"/>
  <c r="R8" i="1"/>
  <c r="R28" i="1"/>
  <c r="R13" i="1"/>
  <c r="R26" i="1"/>
  <c r="R16" i="1"/>
  <c r="R34" i="1"/>
  <c r="R24" i="1"/>
  <c r="R25" i="1"/>
  <c r="R15" i="1"/>
  <c r="R33" i="1"/>
  <c r="R23" i="1"/>
  <c r="R7" i="1"/>
  <c r="R14" i="1"/>
  <c r="R32" i="1"/>
  <c r="R27" i="1"/>
  <c r="R22" i="1"/>
  <c r="R17" i="1"/>
  <c r="R12" i="1"/>
  <c r="S50" i="1"/>
  <c r="S60" i="1"/>
  <c r="S70" i="1"/>
  <c r="S61" i="1"/>
  <c r="S71" i="1"/>
  <c r="S51" i="1"/>
  <c r="S52" i="1"/>
  <c r="S62" i="1"/>
  <c r="S41" i="1"/>
  <c r="S53" i="1"/>
  <c r="S63" i="1"/>
  <c r="S54" i="1"/>
  <c r="S64" i="1"/>
  <c r="S42" i="1"/>
  <c r="S43" i="1"/>
  <c r="S44" i="1"/>
  <c r="S45" i="1"/>
  <c r="S55" i="1"/>
  <c r="S65" i="1"/>
  <c r="S47" i="1"/>
  <c r="S67" i="1"/>
  <c r="S58" i="1"/>
  <c r="S46" i="1"/>
  <c r="S56" i="1"/>
  <c r="S66" i="1"/>
  <c r="S57" i="1"/>
  <c r="S68" i="1"/>
  <c r="S48" i="1"/>
  <c r="S49" i="1"/>
  <c r="S59" i="1"/>
  <c r="S69" i="1"/>
  <c r="R63" i="4"/>
  <c r="R64" i="4"/>
  <c r="R5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tc={5E71AFFC-A89F-2E4D-975E-B7D82F24825C}</author>
  </authors>
  <commentList>
    <comment ref="A73" authorId="0" shapeId="0" xr:uid="{5E71AFFC-A89F-2E4D-975E-B7D82F24825C}">
      <text>
        <t>[Threaded comment]
Your version of Excel allows you to read this threaded comment; however, any edits to it will get removed if the file is opened in a newer version of Excel. Learn more: https://go.microsoft.com/fwlink/?linkid=870924
Comment:
    I noticed that GREET used very different CO EFs than ICCT SAVE model. I am sticking to GREET for now for consistency, but flagging in case anyone wonders.</t>
      </text>
    </comment>
  </commentList>
</comments>
</file>

<file path=xl/sharedStrings.xml><?xml version="1.0" encoding="utf-8"?>
<sst xmlns="http://schemas.openxmlformats.org/spreadsheetml/2006/main" count="1059" uniqueCount="45">
  <si>
    <t>Row Labels</t>
  </si>
  <si>
    <t>Total (EJ) - use for growth, not total energy</t>
  </si>
  <si>
    <t>Residual (t)</t>
  </si>
  <si>
    <t>Distillate (t)</t>
  </si>
  <si>
    <t>LNG (t)</t>
  </si>
  <si>
    <t>MeOH (t)</t>
  </si>
  <si>
    <t>Ammonia (t)</t>
  </si>
  <si>
    <t>Hydrogen (t)</t>
  </si>
  <si>
    <t xml:space="preserve"> -   </t>
  </si>
  <si>
    <t>Residual</t>
  </si>
  <si>
    <t>Distillate</t>
  </si>
  <si>
    <t>LNG</t>
  </si>
  <si>
    <t>MeOH</t>
  </si>
  <si>
    <t>Ammonia</t>
  </si>
  <si>
    <t>Hydrogen</t>
  </si>
  <si>
    <t>Total Fuel (HFOeq)</t>
  </si>
  <si>
    <t>g/MJ</t>
  </si>
  <si>
    <t>HFO (2.7% sulfur)</t>
  </si>
  <si>
    <t>HFO (0.5% sulfur)</t>
  </si>
  <si>
    <t>HFO (0.1% sulfur)</t>
  </si>
  <si>
    <t>MGO (1.0% sulfur)</t>
  </si>
  <si>
    <t>MGO (0.5 % sulfur)</t>
  </si>
  <si>
    <t>MGO (0.1 % sulfur)</t>
  </si>
  <si>
    <t>SOX (t)</t>
  </si>
  <si>
    <t>LH2 (renewable electricity)</t>
  </si>
  <si>
    <t>MeOH (renewable electricity)</t>
  </si>
  <si>
    <t>Ammonia (renewable electricity)</t>
  </si>
  <si>
    <t>Notes: LNG, and alternative fuel combustion does need tiny amount of pilot fuel usually MGO that can introduce some SOx emissions, not included here</t>
  </si>
  <si>
    <t>Total</t>
  </si>
  <si>
    <t>-</t>
  </si>
  <si>
    <t>Reduction compared to 2019</t>
  </si>
  <si>
    <t>NOX (t)</t>
  </si>
  <si>
    <t>Emission factors (NOX)</t>
  </si>
  <si>
    <t>Emission factors (SOX)</t>
  </si>
  <si>
    <t>MSD</t>
  </si>
  <si>
    <t>SSD</t>
  </si>
  <si>
    <t>Energy consumption share by SSD</t>
  </si>
  <si>
    <t>Emission factors (VOC)</t>
  </si>
  <si>
    <t>VOC (t)</t>
  </si>
  <si>
    <t>CO (t)</t>
  </si>
  <si>
    <t>Emission factors (CO)</t>
  </si>
  <si>
    <t>BAU</t>
  </si>
  <si>
    <t>Striving</t>
  </si>
  <si>
    <t>CO2 % Reduction in Striving</t>
  </si>
  <si>
    <t>Striving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</si>
</sst>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6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44B3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 applyAlignment="1">
      <alignment horizontal="left"/>
    </xf>
    <xf numFmtId="3" fontId="1" fillId="0" borderId="0" xfId="0" applyNumberFormat="1" applyFont="1"/>
    <xf numFmtId="9" fontId="0" fillId="0" borderId="0" xfId="0" applyNumberFormat="1"/>
    <xf numFmtId="10" fontId="0" fillId="0" borderId="0" xfId="0" applyNumberFormat="1"/>
    <xf numFmtId="3" fontId="1" fillId="2" borderId="0" xfId="0" applyNumberFormat="1" applyFont="1" applyFill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3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heicct.sharepoint.com/sites/MB-US-2022-MARAD-GL/Shared%20Documents/General/Task%204/LCA/LCA%20Greet%20results%20v1.4.xlsx" TargetMode="External"/><Relationship Id="rId1" Type="http://schemas.openxmlformats.org/officeDocument/2006/relationships/externalLinkPath" Target="https://theicct.sharepoint.com/sites/MB-US-2022-MARAD-GL/Shared%20Documents/General/Task%204/LCA/LCA%20Greet%20results%20v1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issions score"/>
      <sheetName val="Summary"/>
      <sheetName val="Graphs"/>
      <sheetName val="Combustion EF"/>
      <sheetName val="Electricity"/>
      <sheetName val="Biodiesel"/>
      <sheetName val="Renewable diesel"/>
      <sheetName val="FT"/>
      <sheetName val="DME"/>
      <sheetName val="Hydrogen"/>
      <sheetName val="Ammonia"/>
      <sheetName val="E-diesel"/>
      <sheetName val="Methanol"/>
      <sheetName val="Methane"/>
      <sheetName val="RECG1"/>
      <sheetName val="Cell reference"/>
      <sheetName val="Energ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B3">
            <v>34</v>
          </cell>
        </row>
        <row r="9">
          <cell r="B9">
            <v>1055.05585</v>
          </cell>
        </row>
      </sheetData>
      <sheetData sheetId="1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Xiaoli Mao" id="{AC11D904-B4BE-0F4D-82F0-D5DA02AD412B}" userId="S::xiaoli.mao@theicct.org::075280b7-992b-4ebe-acf7-fb56e386150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73" dT="2025-06-06T19:43:16.57" personId="{AC11D904-B4BE-0F4D-82F0-D5DA02AD412B}" id="{5E71AFFC-A89F-2E4D-975E-B7D82F24825C}">
    <text>I noticed that GREET used very different CO EFs than ICCT SAVE model. I am sticking to GREET for now for consistency, but flagging in case anyone wonders.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D91D8-D647-DC44-BB62-E18A3282DA8A}">
  <dimension ref="A1:S78"/>
  <sheetViews>
    <sheetView topLeftCell="A37" workbookViewId="0">
      <selection activeCell="D75" sqref="D75"/>
    </sheetView>
  </sheetViews>
  <sheetFormatPr baseColWidth="10" defaultRowHeight="16" x14ac:dyDescent="0.2"/>
  <cols>
    <col min="2" max="2" width="35.1640625" customWidth="1"/>
    <col min="9" max="10" width="11.1640625" bestFit="1" customWidth="1"/>
    <col min="12" max="14" width="12.1640625" bestFit="1" customWidth="1"/>
    <col min="15" max="15" width="11.1640625" bestFit="1" customWidth="1"/>
  </cols>
  <sheetData>
    <row r="1" spans="1:19" ht="22" x14ac:dyDescent="0.3">
      <c r="A1" s="9" t="s">
        <v>41</v>
      </c>
    </row>
    <row r="2" spans="1:19" x14ac:dyDescent="0.2">
      <c r="A2" s="1"/>
      <c r="B2" s="1"/>
      <c r="C2" s="1">
        <v>40.200000000000003</v>
      </c>
      <c r="D2" s="1">
        <v>42.7</v>
      </c>
      <c r="E2" s="1">
        <v>48</v>
      </c>
      <c r="F2" s="1">
        <v>19.899999999999999</v>
      </c>
      <c r="G2" s="1">
        <v>18.600000000000001</v>
      </c>
      <c r="H2" s="1">
        <v>120</v>
      </c>
      <c r="J2" s="1"/>
      <c r="L2" s="13" t="s">
        <v>23</v>
      </c>
      <c r="M2" s="13"/>
      <c r="N2" s="13"/>
      <c r="O2" s="13"/>
      <c r="P2" s="13"/>
      <c r="Q2" s="13"/>
      <c r="R2" s="13"/>
      <c r="S2" s="13"/>
    </row>
    <row r="3" spans="1:19" x14ac:dyDescent="0.2">
      <c r="A3" s="2" t="s">
        <v>0</v>
      </c>
      <c r="B3" s="3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J3" s="1" t="s">
        <v>15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28</v>
      </c>
      <c r="S3" s="1" t="s">
        <v>30</v>
      </c>
    </row>
    <row r="4" spans="1:19" x14ac:dyDescent="0.2">
      <c r="A4" s="2">
        <v>2019</v>
      </c>
      <c r="B4" s="1">
        <v>9.9</v>
      </c>
      <c r="C4" s="4">
        <v>196317426</v>
      </c>
      <c r="D4" s="4">
        <v>50567463</v>
      </c>
      <c r="E4" s="4">
        <v>11574174</v>
      </c>
      <c r="F4" s="4">
        <v>153689</v>
      </c>
      <c r="G4" s="1" t="s">
        <v>8</v>
      </c>
      <c r="H4" s="1" t="s">
        <v>8</v>
      </c>
      <c r="I4" s="11"/>
      <c r="J4" s="7">
        <v>263925621</v>
      </c>
      <c r="L4">
        <f>C4*1000*C$2*$C$75/1000000</f>
        <v>10555429.684496855</v>
      </c>
      <c r="M4">
        <f>D4*1000*D$2*$H$75/1000000</f>
        <v>98650.124013402572</v>
      </c>
      <c r="N4">
        <f t="shared" ref="N4:N35" si="0">E4*1000*E$2*$I$75/1000000</f>
        <v>0</v>
      </c>
      <c r="O4">
        <f t="shared" ref="O4:O35" si="1">F4*1000*F$2*$K$75/1000000</f>
        <v>0</v>
      </c>
      <c r="P4" t="str">
        <f>G4</f>
        <v xml:space="preserve"> -   </v>
      </c>
      <c r="Q4" t="str">
        <f>H4</f>
        <v xml:space="preserve"> -   </v>
      </c>
      <c r="R4">
        <f>SUM(L4:Q4)</f>
        <v>10654079.808510259</v>
      </c>
      <c r="S4" t="s">
        <v>29</v>
      </c>
    </row>
    <row r="5" spans="1:19" x14ac:dyDescent="0.2">
      <c r="A5" s="2">
        <v>2020</v>
      </c>
      <c r="B5" s="1">
        <v>10.4</v>
      </c>
      <c r="C5" s="4">
        <v>198809774</v>
      </c>
      <c r="D5" s="4">
        <v>52244612</v>
      </c>
      <c r="E5" s="4">
        <v>12298869</v>
      </c>
      <c r="F5" s="4">
        <v>176122</v>
      </c>
      <c r="G5" s="1" t="s">
        <v>8</v>
      </c>
      <c r="H5" s="1" t="s">
        <v>8</v>
      </c>
      <c r="I5" s="11"/>
      <c r="J5" s="7">
        <v>269075831</v>
      </c>
      <c r="L5">
        <f t="shared" ref="L5:L35" si="2">C5*1000*C$2*$D$75/1000000</f>
        <v>1979525.2126689961</v>
      </c>
      <c r="M5">
        <f t="shared" ref="M5:M35" si="3">D5*1000*D$2*$H$75/1000000</f>
        <v>101922.0096691839</v>
      </c>
      <c r="N5">
        <f t="shared" si="0"/>
        <v>0</v>
      </c>
      <c r="O5">
        <f t="shared" si="1"/>
        <v>0</v>
      </c>
      <c r="P5" t="str">
        <f t="shared" ref="P5:P8" si="4">G5</f>
        <v xml:space="preserve"> -   </v>
      </c>
      <c r="Q5" t="str">
        <f t="shared" ref="Q5:Q8" si="5">H5</f>
        <v xml:space="preserve"> -   </v>
      </c>
      <c r="R5">
        <f>SUM(L5:Q5)</f>
        <v>2081447.2223381801</v>
      </c>
      <c r="S5" s="6">
        <f>1-R5/$R$4</f>
        <v>0.8046337872675251</v>
      </c>
    </row>
    <row r="6" spans="1:19" x14ac:dyDescent="0.2">
      <c r="A6" s="2">
        <v>2021</v>
      </c>
      <c r="B6" s="1">
        <v>10.6</v>
      </c>
      <c r="C6" s="4">
        <v>204568676</v>
      </c>
      <c r="D6" s="4">
        <v>52515022</v>
      </c>
      <c r="E6" s="4">
        <v>13830180</v>
      </c>
      <c r="F6" s="4">
        <v>163472</v>
      </c>
      <c r="G6" s="1" t="s">
        <v>8</v>
      </c>
      <c r="H6" s="1" t="s">
        <v>8</v>
      </c>
      <c r="I6" s="11"/>
      <c r="J6" s="4">
        <v>276944127</v>
      </c>
      <c r="L6">
        <f t="shared" si="2"/>
        <v>2036865.9131633786</v>
      </c>
      <c r="M6">
        <f t="shared" si="3"/>
        <v>102449.5421664038</v>
      </c>
      <c r="N6">
        <f t="shared" si="0"/>
        <v>0</v>
      </c>
      <c r="O6">
        <f t="shared" si="1"/>
        <v>0</v>
      </c>
      <c r="P6" t="str">
        <f t="shared" si="4"/>
        <v xml:space="preserve"> -   </v>
      </c>
      <c r="Q6" t="str">
        <f t="shared" si="5"/>
        <v xml:space="preserve"> -   </v>
      </c>
      <c r="R6">
        <f>SUM(L6:Q6)</f>
        <v>2139315.4553297823</v>
      </c>
      <c r="S6" s="6">
        <f>1-R6/$R$4</f>
        <v>0.79920223109076571</v>
      </c>
    </row>
    <row r="7" spans="1:19" x14ac:dyDescent="0.2">
      <c r="A7" s="2">
        <v>2022</v>
      </c>
      <c r="B7" s="1">
        <v>10.7</v>
      </c>
      <c r="C7" s="4">
        <v>207509604</v>
      </c>
      <c r="D7" s="4">
        <v>53007269</v>
      </c>
      <c r="E7" s="4">
        <v>14075107</v>
      </c>
      <c r="F7" s="4">
        <v>234457</v>
      </c>
      <c r="G7" s="1" t="s">
        <v>8</v>
      </c>
      <c r="H7" s="1" t="s">
        <v>8</v>
      </c>
      <c r="I7" s="11"/>
      <c r="J7" s="4">
        <v>280735505</v>
      </c>
      <c r="L7">
        <f t="shared" si="2"/>
        <v>2066148.3825687522</v>
      </c>
      <c r="M7">
        <f t="shared" si="3"/>
        <v>103409.84795819773</v>
      </c>
      <c r="N7">
        <f t="shared" si="0"/>
        <v>0</v>
      </c>
      <c r="O7">
        <f t="shared" si="1"/>
        <v>0</v>
      </c>
      <c r="P7" t="str">
        <f t="shared" si="4"/>
        <v xml:space="preserve"> -   </v>
      </c>
      <c r="Q7" t="str">
        <f t="shared" si="5"/>
        <v xml:space="preserve"> -   </v>
      </c>
      <c r="R7">
        <f t="shared" ref="R7:R35" si="6">SUM(L7:Q7)</f>
        <v>2169558.2305269497</v>
      </c>
      <c r="S7" s="6">
        <f t="shared" ref="S7:S35" si="7">1-R7/$R$4</f>
        <v>0.7963636213055254</v>
      </c>
    </row>
    <row r="8" spans="1:19" x14ac:dyDescent="0.2">
      <c r="A8" s="2">
        <v>2023</v>
      </c>
      <c r="B8" s="1">
        <v>10.3</v>
      </c>
      <c r="C8" s="4">
        <v>209125640</v>
      </c>
      <c r="D8" s="4">
        <v>52258070</v>
      </c>
      <c r="E8" s="4">
        <v>15336227</v>
      </c>
      <c r="F8" s="4">
        <v>322982</v>
      </c>
      <c r="G8" s="1" t="s">
        <v>8</v>
      </c>
      <c r="H8" s="1" t="s">
        <v>8</v>
      </c>
      <c r="I8" s="11"/>
      <c r="J8" s="4">
        <v>283105387</v>
      </c>
      <c r="L8">
        <f t="shared" si="2"/>
        <v>2082239.0603167221</v>
      </c>
      <c r="M8">
        <f t="shared" si="3"/>
        <v>101948.26436519214</v>
      </c>
      <c r="N8">
        <f t="shared" si="0"/>
        <v>0</v>
      </c>
      <c r="O8">
        <f t="shared" si="1"/>
        <v>0</v>
      </c>
      <c r="P8" t="str">
        <f t="shared" si="4"/>
        <v xml:space="preserve"> -   </v>
      </c>
      <c r="Q8" t="str">
        <f t="shared" si="5"/>
        <v xml:space="preserve"> -   </v>
      </c>
      <c r="R8">
        <f t="shared" si="6"/>
        <v>2184187.3246819144</v>
      </c>
      <c r="S8" s="6">
        <f t="shared" si="7"/>
        <v>0.79499052344837606</v>
      </c>
    </row>
    <row r="9" spans="1:19" x14ac:dyDescent="0.2">
      <c r="A9" s="2">
        <v>2024</v>
      </c>
      <c r="B9" s="1">
        <v>10.4</v>
      </c>
      <c r="C9" s="4">
        <v>210459229</v>
      </c>
      <c r="D9" s="4">
        <v>52845074</v>
      </c>
      <c r="E9" s="4">
        <v>16283920</v>
      </c>
      <c r="F9" s="4">
        <v>391932</v>
      </c>
      <c r="G9" s="4">
        <v>61875</v>
      </c>
      <c r="H9" s="4">
        <v>9591</v>
      </c>
      <c r="I9" s="11"/>
      <c r="J9" s="4">
        <v>286285448</v>
      </c>
      <c r="L9">
        <f t="shared" si="2"/>
        <v>2095517.4469660528</v>
      </c>
      <c r="M9">
        <f t="shared" si="3"/>
        <v>103093.42795380965</v>
      </c>
      <c r="N9">
        <f t="shared" si="0"/>
        <v>0</v>
      </c>
      <c r="O9">
        <f t="shared" si="1"/>
        <v>0</v>
      </c>
      <c r="P9">
        <f t="shared" ref="P9:P35" si="8">G9*1000*G$2*$L$75/1000000</f>
        <v>0</v>
      </c>
      <c r="Q9">
        <f t="shared" ref="Q9:Q35" si="9">H9*1000*H$2*$J$75/1000000</f>
        <v>0</v>
      </c>
      <c r="R9">
        <f t="shared" si="6"/>
        <v>2198610.8749198625</v>
      </c>
      <c r="S9" s="6">
        <f t="shared" si="7"/>
        <v>0.79363671809895231</v>
      </c>
    </row>
    <row r="10" spans="1:19" x14ac:dyDescent="0.2">
      <c r="A10" s="2">
        <v>2025</v>
      </c>
      <c r="B10" s="1">
        <v>10.6</v>
      </c>
      <c r="C10" s="4">
        <v>213046760</v>
      </c>
      <c r="D10" s="4">
        <v>53756306</v>
      </c>
      <c r="E10" s="4">
        <v>17392947</v>
      </c>
      <c r="F10" s="4">
        <v>478428</v>
      </c>
      <c r="G10" s="4">
        <v>78677</v>
      </c>
      <c r="H10" s="4">
        <v>11707</v>
      </c>
      <c r="I10" s="11"/>
      <c r="J10" s="4">
        <v>291222001</v>
      </c>
      <c r="L10">
        <f t="shared" si="2"/>
        <v>2121281.1845832113</v>
      </c>
      <c r="M10">
        <f t="shared" si="3"/>
        <v>104871.11551161694</v>
      </c>
      <c r="N10">
        <f t="shared" si="0"/>
        <v>0</v>
      </c>
      <c r="O10">
        <f t="shared" si="1"/>
        <v>0</v>
      </c>
      <c r="P10">
        <f t="shared" si="8"/>
        <v>0</v>
      </c>
      <c r="Q10">
        <f t="shared" si="9"/>
        <v>0</v>
      </c>
      <c r="R10">
        <f t="shared" si="6"/>
        <v>2226152.3000948285</v>
      </c>
      <c r="S10" s="6">
        <f t="shared" si="7"/>
        <v>0.791051659072741</v>
      </c>
    </row>
    <row r="11" spans="1:19" x14ac:dyDescent="0.2">
      <c r="A11" s="2">
        <v>2026</v>
      </c>
      <c r="B11" s="1">
        <v>10.8</v>
      </c>
      <c r="C11" s="4">
        <v>215179126</v>
      </c>
      <c r="D11" s="4">
        <v>54576609</v>
      </c>
      <c r="E11" s="4">
        <v>18541276</v>
      </c>
      <c r="F11" s="4">
        <v>582875</v>
      </c>
      <c r="G11" s="4">
        <v>99847</v>
      </c>
      <c r="H11" s="4">
        <v>14263</v>
      </c>
      <c r="I11" s="11"/>
      <c r="J11" s="4">
        <v>295665950</v>
      </c>
      <c r="L11">
        <f t="shared" si="2"/>
        <v>2142512.8985714694</v>
      </c>
      <c r="M11">
        <f t="shared" si="3"/>
        <v>106471.41317097482</v>
      </c>
      <c r="N11">
        <f t="shared" si="0"/>
        <v>0</v>
      </c>
      <c r="O11">
        <f t="shared" si="1"/>
        <v>0</v>
      </c>
      <c r="P11">
        <f t="shared" si="8"/>
        <v>0</v>
      </c>
      <c r="Q11">
        <f t="shared" si="9"/>
        <v>0</v>
      </c>
      <c r="R11">
        <f t="shared" si="6"/>
        <v>2248984.3117424441</v>
      </c>
      <c r="S11" s="6">
        <f t="shared" si="7"/>
        <v>0.78890862916701621</v>
      </c>
    </row>
    <row r="12" spans="1:19" x14ac:dyDescent="0.2">
      <c r="A12" s="2">
        <v>2027</v>
      </c>
      <c r="B12" s="1">
        <v>10.9</v>
      </c>
      <c r="C12" s="4">
        <v>217059173</v>
      </c>
      <c r="D12" s="4">
        <v>55358238</v>
      </c>
      <c r="E12" s="4">
        <v>19747159</v>
      </c>
      <c r="F12" s="4">
        <v>709467</v>
      </c>
      <c r="G12" s="4">
        <v>126596</v>
      </c>
      <c r="H12" s="4">
        <v>17361</v>
      </c>
      <c r="I12" s="11"/>
      <c r="J12" s="4">
        <v>299900385</v>
      </c>
      <c r="L12">
        <f t="shared" si="2"/>
        <v>2161232.3023644774</v>
      </c>
      <c r="M12">
        <f t="shared" si="3"/>
        <v>107996.26320710323</v>
      </c>
      <c r="N12">
        <f t="shared" si="0"/>
        <v>0</v>
      </c>
      <c r="O12">
        <f t="shared" si="1"/>
        <v>0</v>
      </c>
      <c r="P12">
        <f t="shared" si="8"/>
        <v>0</v>
      </c>
      <c r="Q12">
        <f t="shared" si="9"/>
        <v>0</v>
      </c>
      <c r="R12">
        <f t="shared" si="6"/>
        <v>2269228.5655715805</v>
      </c>
      <c r="S12" s="6">
        <f t="shared" si="7"/>
        <v>0.78700848817004654</v>
      </c>
    </row>
    <row r="13" spans="1:19" x14ac:dyDescent="0.2">
      <c r="A13" s="2">
        <v>2028</v>
      </c>
      <c r="B13" s="1">
        <v>11.1</v>
      </c>
      <c r="C13" s="4">
        <v>218155498</v>
      </c>
      <c r="D13" s="4">
        <v>55966377</v>
      </c>
      <c r="E13" s="4">
        <v>20962296</v>
      </c>
      <c r="F13" s="4">
        <v>860713</v>
      </c>
      <c r="G13" s="4">
        <v>159983</v>
      </c>
      <c r="H13" s="4">
        <v>21062</v>
      </c>
      <c r="I13" s="11"/>
      <c r="J13" s="4">
        <v>303194945</v>
      </c>
      <c r="L13">
        <f t="shared" si="2"/>
        <v>2172148.2796583269</v>
      </c>
      <c r="M13">
        <f t="shared" si="3"/>
        <v>109182.65825657183</v>
      </c>
      <c r="N13">
        <f t="shared" si="0"/>
        <v>0</v>
      </c>
      <c r="O13">
        <f t="shared" si="1"/>
        <v>0</v>
      </c>
      <c r="P13">
        <f t="shared" si="8"/>
        <v>0</v>
      </c>
      <c r="Q13">
        <f t="shared" si="9"/>
        <v>0</v>
      </c>
      <c r="R13">
        <f t="shared" si="6"/>
        <v>2281330.9379148986</v>
      </c>
      <c r="S13" s="6">
        <f t="shared" si="7"/>
        <v>0.78587255033582359</v>
      </c>
    </row>
    <row r="14" spans="1:19" x14ac:dyDescent="0.2">
      <c r="A14" s="2">
        <v>2029</v>
      </c>
      <c r="B14" s="1">
        <v>11.2</v>
      </c>
      <c r="C14" s="4">
        <v>219533167</v>
      </c>
      <c r="D14" s="4">
        <v>56675146</v>
      </c>
      <c r="E14" s="4">
        <v>22289155</v>
      </c>
      <c r="F14" s="4">
        <v>1045936</v>
      </c>
      <c r="G14" s="4">
        <v>202512</v>
      </c>
      <c r="H14" s="4">
        <v>25594</v>
      </c>
      <c r="I14" s="11"/>
      <c r="J14" s="4">
        <v>307034667</v>
      </c>
      <c r="L14">
        <f t="shared" si="2"/>
        <v>2185865.5656113424</v>
      </c>
      <c r="M14">
        <f t="shared" si="3"/>
        <v>110565.36851330067</v>
      </c>
      <c r="N14">
        <f t="shared" si="0"/>
        <v>0</v>
      </c>
      <c r="O14">
        <f t="shared" si="1"/>
        <v>0</v>
      </c>
      <c r="P14">
        <f t="shared" si="8"/>
        <v>0</v>
      </c>
      <c r="Q14">
        <f t="shared" si="9"/>
        <v>0</v>
      </c>
      <c r="R14">
        <f t="shared" si="6"/>
        <v>2296430.934124643</v>
      </c>
      <c r="S14" s="6">
        <f t="shared" si="7"/>
        <v>0.7844552532551613</v>
      </c>
    </row>
    <row r="15" spans="1:19" x14ac:dyDescent="0.2">
      <c r="A15" s="2">
        <v>2030</v>
      </c>
      <c r="B15" s="1">
        <v>11.3</v>
      </c>
      <c r="C15" s="4">
        <v>220657217</v>
      </c>
      <c r="D15" s="4">
        <v>57350123</v>
      </c>
      <c r="E15" s="4">
        <v>23682340</v>
      </c>
      <c r="F15" s="4">
        <v>1270071</v>
      </c>
      <c r="G15" s="4">
        <v>256155</v>
      </c>
      <c r="H15" s="4">
        <v>31079</v>
      </c>
      <c r="I15" s="11"/>
      <c r="J15" s="4">
        <v>310691318</v>
      </c>
      <c r="L15">
        <f t="shared" si="2"/>
        <v>2197057.5974241276</v>
      </c>
      <c r="M15">
        <f t="shared" si="3"/>
        <v>111882.1552533472</v>
      </c>
      <c r="N15">
        <f t="shared" si="0"/>
        <v>0</v>
      </c>
      <c r="O15">
        <f t="shared" si="1"/>
        <v>0</v>
      </c>
      <c r="P15">
        <f t="shared" si="8"/>
        <v>0</v>
      </c>
      <c r="Q15">
        <f t="shared" si="9"/>
        <v>0</v>
      </c>
      <c r="R15">
        <f t="shared" si="6"/>
        <v>2308939.7526774746</v>
      </c>
      <c r="S15" s="6">
        <f t="shared" si="7"/>
        <v>0.7832811660718797</v>
      </c>
    </row>
    <row r="16" spans="1:19" x14ac:dyDescent="0.2">
      <c r="A16" s="2">
        <v>2031</v>
      </c>
      <c r="B16" s="1">
        <v>11.4</v>
      </c>
      <c r="C16" s="4">
        <v>221157572</v>
      </c>
      <c r="D16" s="4">
        <v>57896780</v>
      </c>
      <c r="E16" s="4">
        <v>25103482</v>
      </c>
      <c r="F16" s="4">
        <v>1538612</v>
      </c>
      <c r="G16" s="4">
        <v>323245</v>
      </c>
      <c r="H16" s="4">
        <v>37650</v>
      </c>
      <c r="I16" s="11"/>
      <c r="J16" s="4">
        <v>313652805</v>
      </c>
      <c r="L16">
        <f t="shared" si="2"/>
        <v>2202039.5724943522</v>
      </c>
      <c r="M16">
        <f t="shared" si="3"/>
        <v>112948.60742720442</v>
      </c>
      <c r="N16">
        <f t="shared" si="0"/>
        <v>0</v>
      </c>
      <c r="O16">
        <f t="shared" si="1"/>
        <v>0</v>
      </c>
      <c r="P16">
        <f t="shared" si="8"/>
        <v>0</v>
      </c>
      <c r="Q16">
        <f t="shared" si="9"/>
        <v>0</v>
      </c>
      <c r="R16">
        <f t="shared" si="6"/>
        <v>2314988.1799215567</v>
      </c>
      <c r="S16" s="6">
        <f t="shared" si="7"/>
        <v>0.78271345610980014</v>
      </c>
    </row>
    <row r="17" spans="1:19" x14ac:dyDescent="0.2">
      <c r="A17" s="2">
        <v>2032</v>
      </c>
      <c r="B17" s="1">
        <v>11.5</v>
      </c>
      <c r="C17" s="4">
        <v>221301677</v>
      </c>
      <c r="D17" s="4">
        <v>58386191</v>
      </c>
      <c r="E17" s="4">
        <v>26581470</v>
      </c>
      <c r="F17" s="4">
        <v>1861942</v>
      </c>
      <c r="G17" s="4">
        <v>407472</v>
      </c>
      <c r="H17" s="4">
        <v>45562</v>
      </c>
      <c r="I17" s="11"/>
      <c r="J17" s="4">
        <v>316304164</v>
      </c>
      <c r="L17">
        <f t="shared" si="2"/>
        <v>2203474.4087955677</v>
      </c>
      <c r="M17">
        <f t="shared" si="3"/>
        <v>113903.38057537527</v>
      </c>
      <c r="N17">
        <f t="shared" si="0"/>
        <v>0</v>
      </c>
      <c r="O17">
        <f t="shared" si="1"/>
        <v>0</v>
      </c>
      <c r="P17">
        <f t="shared" si="8"/>
        <v>0</v>
      </c>
      <c r="Q17">
        <f t="shared" si="9"/>
        <v>0</v>
      </c>
      <c r="R17">
        <f t="shared" si="6"/>
        <v>2317377.7893709429</v>
      </c>
      <c r="S17" s="6">
        <f t="shared" si="7"/>
        <v>0.7824891655570414</v>
      </c>
    </row>
    <row r="18" spans="1:19" x14ac:dyDescent="0.2">
      <c r="A18" s="2">
        <v>2033</v>
      </c>
      <c r="B18" s="1">
        <v>11.6</v>
      </c>
      <c r="C18" s="4">
        <v>221460011</v>
      </c>
      <c r="D18" s="4">
        <v>58919344</v>
      </c>
      <c r="E18" s="4">
        <v>28165409</v>
      </c>
      <c r="F18" s="4">
        <v>2254733</v>
      </c>
      <c r="G18" s="4">
        <v>513991</v>
      </c>
      <c r="H18" s="4">
        <v>55173</v>
      </c>
      <c r="I18" s="11"/>
      <c r="J18" s="4">
        <v>319192495</v>
      </c>
      <c r="L18">
        <f t="shared" si="2"/>
        <v>2205050.9215530478</v>
      </c>
      <c r="M18">
        <f t="shared" si="3"/>
        <v>114943.48831358863</v>
      </c>
      <c r="N18">
        <f t="shared" si="0"/>
        <v>0</v>
      </c>
      <c r="O18">
        <f t="shared" si="1"/>
        <v>0</v>
      </c>
      <c r="P18">
        <f t="shared" si="8"/>
        <v>0</v>
      </c>
      <c r="Q18">
        <f t="shared" si="9"/>
        <v>0</v>
      </c>
      <c r="R18">
        <f t="shared" si="6"/>
        <v>2319994.4098666366</v>
      </c>
      <c r="S18" s="6">
        <f t="shared" si="7"/>
        <v>0.78224356757554292</v>
      </c>
    </row>
    <row r="19" spans="1:19" x14ac:dyDescent="0.2">
      <c r="A19" s="2">
        <v>2034</v>
      </c>
      <c r="B19" s="1">
        <v>11.8</v>
      </c>
      <c r="C19" s="4">
        <v>221772830</v>
      </c>
      <c r="D19" s="4">
        <v>59539501</v>
      </c>
      <c r="E19" s="4">
        <v>29884958</v>
      </c>
      <c r="F19" s="4">
        <v>2734159</v>
      </c>
      <c r="G19" s="4">
        <v>649252</v>
      </c>
      <c r="H19" s="4">
        <v>66905</v>
      </c>
      <c r="I19" s="11"/>
      <c r="J19" s="4">
        <v>322552160</v>
      </c>
      <c r="L19">
        <f t="shared" si="2"/>
        <v>2208165.6230339813</v>
      </c>
      <c r="M19">
        <f t="shared" si="3"/>
        <v>116153.32881829776</v>
      </c>
      <c r="N19">
        <f t="shared" si="0"/>
        <v>0</v>
      </c>
      <c r="O19">
        <f t="shared" si="1"/>
        <v>0</v>
      </c>
      <c r="P19">
        <f t="shared" si="8"/>
        <v>0</v>
      </c>
      <c r="Q19">
        <f t="shared" si="9"/>
        <v>0</v>
      </c>
      <c r="R19">
        <f t="shared" si="6"/>
        <v>2324318.9518522792</v>
      </c>
      <c r="S19" s="6">
        <f t="shared" si="7"/>
        <v>0.78183766278945455</v>
      </c>
    </row>
    <row r="20" spans="1:19" x14ac:dyDescent="0.2">
      <c r="A20" s="2">
        <v>2035</v>
      </c>
      <c r="B20" s="1">
        <v>11.8</v>
      </c>
      <c r="C20" s="4">
        <v>221353926</v>
      </c>
      <c r="D20" s="4">
        <v>60014241</v>
      </c>
      <c r="E20" s="4">
        <v>31629409</v>
      </c>
      <c r="F20" s="4">
        <v>3307151</v>
      </c>
      <c r="G20" s="4">
        <v>818036</v>
      </c>
      <c r="H20" s="4">
        <v>80926</v>
      </c>
      <c r="I20" s="11"/>
      <c r="J20" s="4">
        <v>325124040</v>
      </c>
      <c r="L20">
        <f t="shared" si="2"/>
        <v>2203994.6458581416</v>
      </c>
      <c r="M20">
        <f t="shared" si="3"/>
        <v>117079.48087528592</v>
      </c>
      <c r="N20">
        <f t="shared" si="0"/>
        <v>0</v>
      </c>
      <c r="O20">
        <f t="shared" si="1"/>
        <v>0</v>
      </c>
      <c r="P20">
        <f t="shared" si="8"/>
        <v>0</v>
      </c>
      <c r="Q20">
        <f t="shared" si="9"/>
        <v>0</v>
      </c>
      <c r="R20">
        <f t="shared" si="6"/>
        <v>2321074.1267334274</v>
      </c>
      <c r="S20" s="6">
        <f t="shared" si="7"/>
        <v>0.78214222453267135</v>
      </c>
    </row>
    <row r="21" spans="1:19" x14ac:dyDescent="0.2">
      <c r="A21" s="2">
        <v>2036</v>
      </c>
      <c r="B21" s="1">
        <v>12</v>
      </c>
      <c r="C21" s="4">
        <v>221082116</v>
      </c>
      <c r="D21" s="4">
        <v>60586135</v>
      </c>
      <c r="E21" s="4">
        <v>33527356</v>
      </c>
      <c r="F21" s="4">
        <v>4006400</v>
      </c>
      <c r="G21" s="4">
        <v>1032289</v>
      </c>
      <c r="H21" s="4">
        <v>98036</v>
      </c>
      <c r="I21" s="11"/>
      <c r="J21" s="4">
        <v>328222249</v>
      </c>
      <c r="L21">
        <f t="shared" si="2"/>
        <v>2201288.2661000942</v>
      </c>
      <c r="M21">
        <f t="shared" si="3"/>
        <v>118195.16694445891</v>
      </c>
      <c r="N21">
        <f t="shared" si="0"/>
        <v>0</v>
      </c>
      <c r="O21">
        <f t="shared" si="1"/>
        <v>0</v>
      </c>
      <c r="P21">
        <f t="shared" si="8"/>
        <v>0</v>
      </c>
      <c r="Q21">
        <f t="shared" si="9"/>
        <v>0</v>
      </c>
      <c r="R21">
        <f t="shared" si="6"/>
        <v>2319483.4330445533</v>
      </c>
      <c r="S21" s="6">
        <f t="shared" si="7"/>
        <v>0.7822915282470666</v>
      </c>
    </row>
    <row r="22" spans="1:19" x14ac:dyDescent="0.2">
      <c r="A22" s="2">
        <v>2037</v>
      </c>
      <c r="B22" s="1">
        <v>12.1</v>
      </c>
      <c r="C22" s="4">
        <v>220496454</v>
      </c>
      <c r="D22" s="4">
        <v>61138068</v>
      </c>
      <c r="E22" s="4">
        <v>35524425</v>
      </c>
      <c r="F22" s="4">
        <v>4851477</v>
      </c>
      <c r="G22" s="4">
        <v>1302116</v>
      </c>
      <c r="H22" s="4">
        <v>118716</v>
      </c>
      <c r="I22" s="11"/>
      <c r="J22" s="4">
        <v>331212313</v>
      </c>
      <c r="L22">
        <f t="shared" si="2"/>
        <v>2195456.8994032932</v>
      </c>
      <c r="M22">
        <f t="shared" si="3"/>
        <v>119271.91186435116</v>
      </c>
      <c r="N22">
        <f t="shared" si="0"/>
        <v>0</v>
      </c>
      <c r="O22">
        <f t="shared" si="1"/>
        <v>0</v>
      </c>
      <c r="P22">
        <f t="shared" si="8"/>
        <v>0</v>
      </c>
      <c r="Q22">
        <f t="shared" si="9"/>
        <v>0</v>
      </c>
      <c r="R22">
        <f t="shared" si="6"/>
        <v>2314728.8112676442</v>
      </c>
      <c r="S22" s="6">
        <f t="shared" si="7"/>
        <v>0.78273780064809662</v>
      </c>
    </row>
    <row r="23" spans="1:19" x14ac:dyDescent="0.2">
      <c r="A23" s="2">
        <v>2038</v>
      </c>
      <c r="B23" s="1">
        <v>12.2</v>
      </c>
      <c r="C23" s="4">
        <v>219903498</v>
      </c>
      <c r="D23" s="4">
        <v>61764329</v>
      </c>
      <c r="E23" s="4">
        <v>37682732</v>
      </c>
      <c r="F23" s="4">
        <v>5881407</v>
      </c>
      <c r="G23" s="4">
        <v>1644318</v>
      </c>
      <c r="H23" s="4">
        <v>143918</v>
      </c>
      <c r="I23" s="11"/>
      <c r="J23" s="4">
        <v>334605051</v>
      </c>
      <c r="L23">
        <f t="shared" si="2"/>
        <v>2189552.9072182644</v>
      </c>
      <c r="M23">
        <f t="shared" si="3"/>
        <v>120493.66042853675</v>
      </c>
      <c r="N23">
        <f t="shared" si="0"/>
        <v>0</v>
      </c>
      <c r="O23">
        <f t="shared" si="1"/>
        <v>0</v>
      </c>
      <c r="P23">
        <f t="shared" si="8"/>
        <v>0</v>
      </c>
      <c r="Q23">
        <f t="shared" si="9"/>
        <v>0</v>
      </c>
      <c r="R23">
        <f t="shared" si="6"/>
        <v>2310046.567646801</v>
      </c>
      <c r="S23" s="6">
        <f t="shared" si="7"/>
        <v>0.78317727958058059</v>
      </c>
    </row>
    <row r="24" spans="1:19" x14ac:dyDescent="0.2">
      <c r="A24" s="2">
        <v>2039</v>
      </c>
      <c r="B24" s="1">
        <v>12.3</v>
      </c>
      <c r="C24" s="4">
        <v>218665493</v>
      </c>
      <c r="D24" s="4">
        <v>62297120</v>
      </c>
      <c r="E24" s="4">
        <v>39908180</v>
      </c>
      <c r="F24" s="4">
        <v>7118569</v>
      </c>
      <c r="G24" s="4">
        <v>2073128</v>
      </c>
      <c r="H24" s="4">
        <v>174191</v>
      </c>
      <c r="I24" s="11"/>
      <c r="J24" s="4">
        <v>337491422</v>
      </c>
      <c r="L24">
        <f t="shared" si="2"/>
        <v>2177226.2390590305</v>
      </c>
      <c r="M24">
        <f t="shared" si="3"/>
        <v>121533.06195483489</v>
      </c>
      <c r="N24">
        <f t="shared" si="0"/>
        <v>0</v>
      </c>
      <c r="O24">
        <f t="shared" si="1"/>
        <v>0</v>
      </c>
      <c r="P24">
        <f t="shared" si="8"/>
        <v>0</v>
      </c>
      <c r="Q24">
        <f t="shared" si="9"/>
        <v>0</v>
      </c>
      <c r="R24">
        <f t="shared" si="6"/>
        <v>2298759.3010138655</v>
      </c>
      <c r="S24" s="6">
        <f t="shared" si="7"/>
        <v>0.78423671097548342</v>
      </c>
    </row>
    <row r="25" spans="1:19" x14ac:dyDescent="0.2">
      <c r="A25" s="2">
        <v>2040</v>
      </c>
      <c r="B25" s="1">
        <v>12.4</v>
      </c>
      <c r="C25" s="4">
        <v>217306110</v>
      </c>
      <c r="D25" s="4">
        <v>62896769</v>
      </c>
      <c r="E25" s="4">
        <v>42306937</v>
      </c>
      <c r="F25" s="4">
        <v>8624508</v>
      </c>
      <c r="G25" s="4">
        <v>2616353</v>
      </c>
      <c r="H25" s="4">
        <v>211041</v>
      </c>
      <c r="I25" s="11"/>
      <c r="J25" s="4">
        <v>340739988</v>
      </c>
      <c r="L25">
        <f t="shared" si="2"/>
        <v>2163691.0246275025</v>
      </c>
      <c r="M25">
        <f t="shared" si="3"/>
        <v>122702.89418894384</v>
      </c>
      <c r="N25">
        <f t="shared" si="0"/>
        <v>0</v>
      </c>
      <c r="O25">
        <f t="shared" si="1"/>
        <v>0</v>
      </c>
      <c r="P25">
        <f t="shared" si="8"/>
        <v>0</v>
      </c>
      <c r="Q25">
        <f t="shared" si="9"/>
        <v>0</v>
      </c>
      <c r="R25">
        <f t="shared" si="6"/>
        <v>2286393.9188164463</v>
      </c>
      <c r="S25" s="6">
        <f t="shared" si="7"/>
        <v>0.78539733511381038</v>
      </c>
    </row>
    <row r="26" spans="1:19" x14ac:dyDescent="0.2">
      <c r="A26" s="2">
        <v>2041</v>
      </c>
      <c r="B26" s="1">
        <v>12.5</v>
      </c>
      <c r="C26" s="4">
        <v>215167593</v>
      </c>
      <c r="D26" s="4">
        <v>63388687</v>
      </c>
      <c r="E26" s="4">
        <v>44769712</v>
      </c>
      <c r="F26" s="4">
        <v>10430353</v>
      </c>
      <c r="G26" s="4">
        <v>3296020</v>
      </c>
      <c r="H26" s="4">
        <v>255230</v>
      </c>
      <c r="I26" s="11"/>
      <c r="J26" s="4">
        <v>343404925</v>
      </c>
      <c r="L26">
        <f t="shared" si="2"/>
        <v>2142398.0658657206</v>
      </c>
      <c r="M26">
        <f t="shared" si="3"/>
        <v>123662.55814725683</v>
      </c>
      <c r="N26">
        <f t="shared" si="0"/>
        <v>0</v>
      </c>
      <c r="O26">
        <f t="shared" si="1"/>
        <v>0</v>
      </c>
      <c r="P26">
        <f t="shared" si="8"/>
        <v>0</v>
      </c>
      <c r="Q26">
        <f t="shared" si="9"/>
        <v>0</v>
      </c>
      <c r="R26">
        <f t="shared" si="6"/>
        <v>2266060.6240129774</v>
      </c>
      <c r="S26" s="6">
        <f t="shared" si="7"/>
        <v>0.78730583356406858</v>
      </c>
    </row>
    <row r="27" spans="1:19" x14ac:dyDescent="0.2">
      <c r="A27" s="2">
        <v>2042</v>
      </c>
      <c r="B27" s="1">
        <v>12.6</v>
      </c>
      <c r="C27" s="4">
        <v>212824675</v>
      </c>
      <c r="D27" s="4">
        <v>63958534</v>
      </c>
      <c r="E27" s="4">
        <v>47430789</v>
      </c>
      <c r="F27" s="4">
        <v>12628942</v>
      </c>
      <c r="G27" s="4">
        <v>4157063</v>
      </c>
      <c r="H27" s="4">
        <v>309030</v>
      </c>
      <c r="I27" s="11"/>
      <c r="J27" s="4">
        <v>346492042</v>
      </c>
      <c r="L27">
        <f t="shared" si="2"/>
        <v>2119069.910720712</v>
      </c>
      <c r="M27">
        <f t="shared" si="3"/>
        <v>124774.25080264406</v>
      </c>
      <c r="N27">
        <f t="shared" si="0"/>
        <v>0</v>
      </c>
      <c r="O27">
        <f t="shared" si="1"/>
        <v>0</v>
      </c>
      <c r="P27">
        <f t="shared" si="8"/>
        <v>0</v>
      </c>
      <c r="Q27">
        <f t="shared" si="9"/>
        <v>0</v>
      </c>
      <c r="R27">
        <f t="shared" si="6"/>
        <v>2243844.1615233561</v>
      </c>
      <c r="S27" s="6">
        <f t="shared" si="7"/>
        <v>0.78939108755962017</v>
      </c>
    </row>
    <row r="28" spans="1:19" x14ac:dyDescent="0.2">
      <c r="A28" s="2">
        <v>2043</v>
      </c>
      <c r="B28" s="1">
        <v>12.7</v>
      </c>
      <c r="C28" s="4">
        <v>209307092</v>
      </c>
      <c r="D28" s="4">
        <v>64336543</v>
      </c>
      <c r="E28" s="4">
        <v>50096671</v>
      </c>
      <c r="F28" s="4">
        <v>15244299</v>
      </c>
      <c r="G28" s="4">
        <v>5227040</v>
      </c>
      <c r="H28" s="4">
        <v>373028</v>
      </c>
      <c r="I28" s="11"/>
      <c r="J28" s="4">
        <v>348539888</v>
      </c>
      <c r="L28">
        <f t="shared" si="2"/>
        <v>2084045.756243499</v>
      </c>
      <c r="M28">
        <f t="shared" si="3"/>
        <v>125511.6940619229</v>
      </c>
      <c r="N28">
        <f t="shared" si="0"/>
        <v>0</v>
      </c>
      <c r="O28">
        <f t="shared" si="1"/>
        <v>0</v>
      </c>
      <c r="P28">
        <f t="shared" si="8"/>
        <v>0</v>
      </c>
      <c r="Q28">
        <f t="shared" si="9"/>
        <v>0</v>
      </c>
      <c r="R28">
        <f t="shared" si="6"/>
        <v>2209557.4503054218</v>
      </c>
      <c r="S28" s="6">
        <f t="shared" si="7"/>
        <v>0.79260926424256062</v>
      </c>
    </row>
    <row r="29" spans="1:19" x14ac:dyDescent="0.2">
      <c r="A29" s="2">
        <v>2044</v>
      </c>
      <c r="B29" s="1">
        <v>12.8</v>
      </c>
      <c r="C29" s="4">
        <v>205632808</v>
      </c>
      <c r="D29" s="4">
        <v>64857957</v>
      </c>
      <c r="E29" s="4">
        <v>53027812</v>
      </c>
      <c r="F29" s="4">
        <v>18441415</v>
      </c>
      <c r="G29" s="4">
        <v>6586753</v>
      </c>
      <c r="H29" s="4">
        <v>451261</v>
      </c>
      <c r="I29" s="11"/>
      <c r="J29" s="4">
        <v>351364619</v>
      </c>
      <c r="L29">
        <f t="shared" si="2"/>
        <v>2047461.3485950788</v>
      </c>
      <c r="M29">
        <f t="shared" si="3"/>
        <v>126528.90063529449</v>
      </c>
      <c r="N29">
        <f t="shared" si="0"/>
        <v>0</v>
      </c>
      <c r="O29">
        <f t="shared" si="1"/>
        <v>0</v>
      </c>
      <c r="P29">
        <f t="shared" si="8"/>
        <v>0</v>
      </c>
      <c r="Q29">
        <f t="shared" si="9"/>
        <v>0</v>
      </c>
      <c r="R29">
        <f t="shared" si="6"/>
        <v>2173990.2492303732</v>
      </c>
      <c r="S29" s="6">
        <f t="shared" si="7"/>
        <v>0.7959476286733056</v>
      </c>
    </row>
    <row r="30" spans="1:19" x14ac:dyDescent="0.2">
      <c r="A30" s="2">
        <v>2045</v>
      </c>
      <c r="B30" s="1">
        <v>12.9</v>
      </c>
      <c r="C30" s="4">
        <v>201484133</v>
      </c>
      <c r="D30" s="4">
        <v>65466950</v>
      </c>
      <c r="E30" s="4">
        <v>56202011</v>
      </c>
      <c r="F30" s="4">
        <v>22337488</v>
      </c>
      <c r="G30" s="4">
        <v>8310751</v>
      </c>
      <c r="H30" s="4">
        <v>546598</v>
      </c>
      <c r="I30" s="11"/>
      <c r="J30" s="4">
        <v>354663809</v>
      </c>
      <c r="L30">
        <f t="shared" si="2"/>
        <v>2006153.4863283597</v>
      </c>
      <c r="M30">
        <f t="shared" si="3"/>
        <v>127716.96172060727</v>
      </c>
      <c r="N30">
        <f t="shared" si="0"/>
        <v>0</v>
      </c>
      <c r="O30">
        <f t="shared" si="1"/>
        <v>0</v>
      </c>
      <c r="P30">
        <f t="shared" si="8"/>
        <v>0</v>
      </c>
      <c r="Q30">
        <f t="shared" si="9"/>
        <v>0</v>
      </c>
      <c r="R30">
        <f t="shared" si="6"/>
        <v>2133870.4480489669</v>
      </c>
      <c r="S30" s="6">
        <f t="shared" si="7"/>
        <v>0.79971330359807558</v>
      </c>
    </row>
    <row r="31" spans="1:19" x14ac:dyDescent="0.2">
      <c r="A31" s="2">
        <v>2046</v>
      </c>
      <c r="B31" s="1">
        <v>13</v>
      </c>
      <c r="C31" s="4">
        <v>196361489</v>
      </c>
      <c r="D31" s="4">
        <v>66049493</v>
      </c>
      <c r="E31" s="4">
        <v>59537217</v>
      </c>
      <c r="F31" s="4">
        <v>27043504</v>
      </c>
      <c r="G31" s="4">
        <v>10480878</v>
      </c>
      <c r="H31" s="4">
        <v>661754</v>
      </c>
      <c r="I31" s="11"/>
      <c r="J31" s="4">
        <v>357819704</v>
      </c>
      <c r="L31">
        <f t="shared" si="2"/>
        <v>1955147.9308694638</v>
      </c>
      <c r="M31">
        <f t="shared" si="3"/>
        <v>128853.4225154298</v>
      </c>
      <c r="N31">
        <f t="shared" si="0"/>
        <v>0</v>
      </c>
      <c r="O31">
        <f t="shared" si="1"/>
        <v>0</v>
      </c>
      <c r="P31">
        <f t="shared" si="8"/>
        <v>0</v>
      </c>
      <c r="Q31">
        <f t="shared" si="9"/>
        <v>0</v>
      </c>
      <c r="R31">
        <f t="shared" si="6"/>
        <v>2084001.3533848936</v>
      </c>
      <c r="S31" s="6">
        <f t="shared" si="7"/>
        <v>0.80439405459303615</v>
      </c>
    </row>
    <row r="32" spans="1:19" x14ac:dyDescent="0.2">
      <c r="A32" s="2">
        <v>2047</v>
      </c>
      <c r="B32" s="1">
        <v>13.1</v>
      </c>
      <c r="C32" s="4">
        <v>189882965</v>
      </c>
      <c r="D32" s="4">
        <v>66526253</v>
      </c>
      <c r="E32" s="4">
        <v>62965319</v>
      </c>
      <c r="F32" s="4">
        <v>32686452</v>
      </c>
      <c r="G32" s="4">
        <v>13195664</v>
      </c>
      <c r="H32" s="4">
        <v>799837</v>
      </c>
      <c r="I32" s="11"/>
      <c r="J32" s="4">
        <v>360402528</v>
      </c>
      <c r="L32">
        <f t="shared" si="2"/>
        <v>1890642.0399323252</v>
      </c>
      <c r="M32">
        <f t="shared" si="3"/>
        <v>129783.51531293934</v>
      </c>
      <c r="N32">
        <f t="shared" si="0"/>
        <v>0</v>
      </c>
      <c r="O32">
        <f t="shared" si="1"/>
        <v>0</v>
      </c>
      <c r="P32">
        <f t="shared" si="8"/>
        <v>0</v>
      </c>
      <c r="Q32">
        <f t="shared" si="9"/>
        <v>0</v>
      </c>
      <c r="R32">
        <f t="shared" si="6"/>
        <v>2020425.5552452647</v>
      </c>
      <c r="S32" s="6">
        <f t="shared" si="7"/>
        <v>0.81036132715737774</v>
      </c>
    </row>
    <row r="33" spans="1:19" x14ac:dyDescent="0.2">
      <c r="A33" s="2">
        <v>2048</v>
      </c>
      <c r="B33" s="1">
        <v>13.2</v>
      </c>
      <c r="C33" s="4">
        <v>182355034</v>
      </c>
      <c r="D33" s="4">
        <v>67067335</v>
      </c>
      <c r="E33" s="4">
        <v>66651310</v>
      </c>
      <c r="F33" s="4">
        <v>39542763</v>
      </c>
      <c r="G33" s="4">
        <v>16628736</v>
      </c>
      <c r="H33" s="4">
        <v>967610</v>
      </c>
      <c r="I33" s="11"/>
      <c r="J33" s="4">
        <v>363333810</v>
      </c>
      <c r="L33">
        <f t="shared" si="2"/>
        <v>1815687.3286326055</v>
      </c>
      <c r="M33">
        <f t="shared" si="3"/>
        <v>130839.09143312991</v>
      </c>
      <c r="N33">
        <f t="shared" si="0"/>
        <v>0</v>
      </c>
      <c r="O33">
        <f t="shared" si="1"/>
        <v>0</v>
      </c>
      <c r="P33">
        <f t="shared" si="8"/>
        <v>0</v>
      </c>
      <c r="Q33">
        <f t="shared" si="9"/>
        <v>0</v>
      </c>
      <c r="R33">
        <f t="shared" si="6"/>
        <v>1946526.4200657355</v>
      </c>
      <c r="S33" s="6">
        <f t="shared" si="7"/>
        <v>0.81729755595496001</v>
      </c>
    </row>
    <row r="34" spans="1:19" x14ac:dyDescent="0.2">
      <c r="A34" s="2">
        <v>2049</v>
      </c>
      <c r="B34" s="1">
        <v>13.4</v>
      </c>
      <c r="C34" s="4">
        <v>173471489</v>
      </c>
      <c r="D34" s="4">
        <v>67656931</v>
      </c>
      <c r="E34" s="4">
        <v>70599112</v>
      </c>
      <c r="F34" s="4">
        <v>47868465</v>
      </c>
      <c r="G34" s="4">
        <v>20968651</v>
      </c>
      <c r="H34" s="4">
        <v>1171340</v>
      </c>
      <c r="I34" s="11"/>
      <c r="J34" s="4">
        <v>366527919</v>
      </c>
      <c r="L34">
        <f t="shared" si="2"/>
        <v>1727234.9303849239</v>
      </c>
      <c r="M34">
        <f t="shared" si="3"/>
        <v>131989.31165512931</v>
      </c>
      <c r="N34">
        <f t="shared" si="0"/>
        <v>0</v>
      </c>
      <c r="O34">
        <f t="shared" si="1"/>
        <v>0</v>
      </c>
      <c r="P34">
        <f t="shared" si="8"/>
        <v>0</v>
      </c>
      <c r="Q34">
        <f t="shared" si="9"/>
        <v>0</v>
      </c>
      <c r="R34">
        <f t="shared" si="6"/>
        <v>1859224.2420400532</v>
      </c>
      <c r="S34" s="6">
        <f t="shared" si="7"/>
        <v>0.82549180450526161</v>
      </c>
    </row>
    <row r="35" spans="1:19" x14ac:dyDescent="0.2">
      <c r="A35" s="2">
        <v>2050</v>
      </c>
      <c r="B35" s="1">
        <v>13.5</v>
      </c>
      <c r="C35" s="4">
        <v>162713466</v>
      </c>
      <c r="D35" s="4">
        <v>68210642</v>
      </c>
      <c r="E35" s="4">
        <v>74735746</v>
      </c>
      <c r="F35" s="4">
        <v>57912270</v>
      </c>
      <c r="G35" s="4">
        <v>26425326</v>
      </c>
      <c r="H35" s="4">
        <v>1417112</v>
      </c>
      <c r="I35" s="11"/>
      <c r="J35" s="4">
        <v>369527617</v>
      </c>
      <c r="L35">
        <f t="shared" si="2"/>
        <v>1620118.5782131588</v>
      </c>
      <c r="M35">
        <f t="shared" si="3"/>
        <v>133069.525207025</v>
      </c>
      <c r="N35">
        <f t="shared" si="0"/>
        <v>0</v>
      </c>
      <c r="O35">
        <f t="shared" si="1"/>
        <v>0</v>
      </c>
      <c r="P35">
        <f t="shared" si="8"/>
        <v>0</v>
      </c>
      <c r="Q35">
        <f t="shared" si="9"/>
        <v>0</v>
      </c>
      <c r="R35">
        <f t="shared" si="6"/>
        <v>1753188.1034201838</v>
      </c>
      <c r="S35" s="6">
        <f t="shared" si="7"/>
        <v>0.83544443678563651</v>
      </c>
    </row>
    <row r="36" spans="1:19" x14ac:dyDescent="0.2">
      <c r="A36" s="1"/>
      <c r="B36" s="1"/>
      <c r="C36" s="1"/>
      <c r="D36" s="1"/>
      <c r="E36" s="1"/>
      <c r="F36" s="1"/>
      <c r="G36" s="1"/>
      <c r="H36" s="1"/>
      <c r="J36" s="1"/>
    </row>
    <row r="37" spans="1:19" ht="22" x14ac:dyDescent="0.3">
      <c r="A37" s="9" t="s">
        <v>42</v>
      </c>
      <c r="B37" s="1"/>
      <c r="C37" s="1"/>
      <c r="D37" s="1"/>
      <c r="E37" s="1"/>
      <c r="F37" s="1"/>
      <c r="G37" s="1"/>
      <c r="H37" s="1"/>
      <c r="J37" s="1"/>
    </row>
    <row r="38" spans="1:19" x14ac:dyDescent="0.2">
      <c r="A38" s="1"/>
      <c r="B38" s="1"/>
      <c r="C38" s="1">
        <v>40.200000000000003</v>
      </c>
      <c r="D38" s="1">
        <v>42.7</v>
      </c>
      <c r="E38" s="1">
        <v>48</v>
      </c>
      <c r="F38" s="1">
        <v>19.899999999999999</v>
      </c>
      <c r="G38" s="1">
        <v>18.600000000000001</v>
      </c>
      <c r="H38" s="1">
        <v>120</v>
      </c>
      <c r="J38" s="1"/>
      <c r="L38" s="13" t="s">
        <v>23</v>
      </c>
      <c r="M38" s="13"/>
      <c r="N38" s="13"/>
      <c r="O38" s="13"/>
      <c r="P38" s="13"/>
      <c r="Q38" s="13"/>
      <c r="R38" s="13"/>
      <c r="S38" s="13"/>
    </row>
    <row r="39" spans="1:19" x14ac:dyDescent="0.2">
      <c r="A39" s="2" t="s">
        <v>0</v>
      </c>
      <c r="B39" s="3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J39" s="1" t="s">
        <v>15</v>
      </c>
      <c r="L39" s="1" t="s">
        <v>9</v>
      </c>
      <c r="M39" s="1" t="s">
        <v>10</v>
      </c>
      <c r="N39" s="1" t="s">
        <v>11</v>
      </c>
      <c r="O39" s="1" t="s">
        <v>12</v>
      </c>
      <c r="P39" s="1" t="s">
        <v>13</v>
      </c>
      <c r="Q39" s="1" t="s">
        <v>14</v>
      </c>
      <c r="R39" s="1" t="s">
        <v>28</v>
      </c>
      <c r="S39" s="1" t="s">
        <v>30</v>
      </c>
    </row>
    <row r="40" spans="1:19" x14ac:dyDescent="0.2">
      <c r="A40" s="2">
        <v>2019</v>
      </c>
      <c r="B40" s="1">
        <v>9.9</v>
      </c>
      <c r="C40" s="4">
        <v>196317426</v>
      </c>
      <c r="D40" s="4">
        <v>50567463</v>
      </c>
      <c r="E40" s="4">
        <v>11574174</v>
      </c>
      <c r="F40" s="4">
        <v>153689</v>
      </c>
      <c r="G40" s="1" t="s">
        <v>8</v>
      </c>
      <c r="H40" s="1" t="s">
        <v>8</v>
      </c>
      <c r="J40" s="7">
        <v>263925621</v>
      </c>
      <c r="L40">
        <f>C40*1000*C$2*$D$75/1000000</f>
        <v>1954709.2008327511</v>
      </c>
      <c r="M40">
        <f t="shared" ref="M40:M71" si="10">D40*1000*D$2*$H$75/1000000</f>
        <v>98650.124013402572</v>
      </c>
      <c r="N40">
        <f t="shared" ref="N40:N71" si="11">E40*1000*E$2*$I$75/1000000</f>
        <v>0</v>
      </c>
      <c r="O40">
        <f t="shared" ref="O40:O71" si="12">F40*1000*F$2*$K$75/1000000</f>
        <v>0</v>
      </c>
      <c r="P40" t="str">
        <f>G40</f>
        <v xml:space="preserve"> -   </v>
      </c>
      <c r="Q40" t="str">
        <f>H40</f>
        <v xml:space="preserve"> -   </v>
      </c>
      <c r="R40">
        <f>SUM(L40:Q40)</f>
        <v>2053359.3248461536</v>
      </c>
      <c r="S40" t="s">
        <v>29</v>
      </c>
    </row>
    <row r="41" spans="1:19" x14ac:dyDescent="0.2">
      <c r="A41" s="2">
        <v>2020</v>
      </c>
      <c r="B41" s="1">
        <v>10.4</v>
      </c>
      <c r="C41" s="4">
        <v>198809774</v>
      </c>
      <c r="D41" s="4">
        <v>52244612</v>
      </c>
      <c r="E41" s="4">
        <v>12298869</v>
      </c>
      <c r="F41" s="4">
        <v>176122</v>
      </c>
      <c r="G41" s="1" t="s">
        <v>8</v>
      </c>
      <c r="H41" s="1" t="s">
        <v>8</v>
      </c>
      <c r="J41" s="7">
        <v>269075831</v>
      </c>
      <c r="L41">
        <f t="shared" ref="L41:L71" si="13">C41*1000*C$2*$D$75/1000000</f>
        <v>1979525.2126689961</v>
      </c>
      <c r="M41">
        <f>D41*1000*D$2*$H$75/1000000</f>
        <v>101922.0096691839</v>
      </c>
      <c r="N41">
        <f t="shared" si="11"/>
        <v>0</v>
      </c>
      <c r="O41">
        <f t="shared" si="12"/>
        <v>0</v>
      </c>
      <c r="P41" t="str">
        <f t="shared" ref="P41:P44" si="14">G41</f>
        <v xml:space="preserve"> -   </v>
      </c>
      <c r="Q41" t="str">
        <f t="shared" ref="Q41:Q44" si="15">H41</f>
        <v xml:space="preserve"> -   </v>
      </c>
      <c r="R41">
        <f t="shared" ref="R41:R71" si="16">SUM(L41:Q41)</f>
        <v>2081447.2223381801</v>
      </c>
      <c r="S41" s="6">
        <f>1-R41/$R$40</f>
        <v>-1.3678997704958951E-2</v>
      </c>
    </row>
    <row r="42" spans="1:19" x14ac:dyDescent="0.2">
      <c r="A42" s="2">
        <v>2021</v>
      </c>
      <c r="B42" s="1">
        <v>10.6</v>
      </c>
      <c r="C42" s="4">
        <v>204568676</v>
      </c>
      <c r="D42" s="4">
        <v>52515022</v>
      </c>
      <c r="E42" s="4">
        <v>13830180</v>
      </c>
      <c r="F42" s="4">
        <v>163472</v>
      </c>
      <c r="G42" s="1" t="s">
        <v>8</v>
      </c>
      <c r="H42" s="1" t="s">
        <v>8</v>
      </c>
      <c r="J42" s="4">
        <v>276944127</v>
      </c>
      <c r="L42">
        <f t="shared" si="13"/>
        <v>2036865.9131633786</v>
      </c>
      <c r="M42">
        <f t="shared" si="10"/>
        <v>102449.5421664038</v>
      </c>
      <c r="N42">
        <f t="shared" si="11"/>
        <v>0</v>
      </c>
      <c r="O42">
        <f t="shared" si="12"/>
        <v>0</v>
      </c>
      <c r="P42" t="str">
        <f t="shared" si="14"/>
        <v xml:space="preserve"> -   </v>
      </c>
      <c r="Q42" t="str">
        <f t="shared" si="15"/>
        <v xml:space="preserve"> -   </v>
      </c>
      <c r="R42">
        <f t="shared" si="16"/>
        <v>2139315.4553297823</v>
      </c>
      <c r="S42" s="6">
        <f t="shared" ref="S42:S71" si="17">1-R42/$R$40</f>
        <v>-4.1861221971010387E-2</v>
      </c>
    </row>
    <row r="43" spans="1:19" x14ac:dyDescent="0.2">
      <c r="A43" s="2">
        <v>2022</v>
      </c>
      <c r="B43" s="1">
        <v>10.7</v>
      </c>
      <c r="C43" s="4">
        <v>207509604</v>
      </c>
      <c r="D43" s="4">
        <v>53007269</v>
      </c>
      <c r="E43" s="4">
        <v>14075107</v>
      </c>
      <c r="F43" s="4">
        <v>234457</v>
      </c>
      <c r="G43" s="1" t="s">
        <v>8</v>
      </c>
      <c r="H43" s="1" t="s">
        <v>8</v>
      </c>
      <c r="J43" s="4">
        <v>280735505</v>
      </c>
      <c r="L43">
        <f t="shared" si="13"/>
        <v>2066148.3825687522</v>
      </c>
      <c r="M43">
        <f t="shared" si="10"/>
        <v>103409.84795819773</v>
      </c>
      <c r="N43">
        <f t="shared" si="11"/>
        <v>0</v>
      </c>
      <c r="O43">
        <f t="shared" si="12"/>
        <v>0</v>
      </c>
      <c r="P43" t="str">
        <f t="shared" si="14"/>
        <v xml:space="preserve"> -   </v>
      </c>
      <c r="Q43" t="str">
        <f t="shared" si="15"/>
        <v xml:space="preserve"> -   </v>
      </c>
      <c r="R43">
        <f t="shared" si="16"/>
        <v>2169558.2305269497</v>
      </c>
      <c r="S43" s="6">
        <f t="shared" si="17"/>
        <v>-5.6589659819769933E-2</v>
      </c>
    </row>
    <row r="44" spans="1:19" x14ac:dyDescent="0.2">
      <c r="A44" s="2">
        <v>2023</v>
      </c>
      <c r="B44" s="1">
        <v>10.3</v>
      </c>
      <c r="C44" s="4">
        <v>209125640</v>
      </c>
      <c r="D44" s="4">
        <v>52258070</v>
      </c>
      <c r="E44" s="4">
        <v>15336227</v>
      </c>
      <c r="F44" s="4">
        <v>322982</v>
      </c>
      <c r="G44" s="1" t="s">
        <v>8</v>
      </c>
      <c r="H44" s="1" t="s">
        <v>8</v>
      </c>
      <c r="J44" s="4">
        <v>283105387</v>
      </c>
      <c r="L44">
        <f t="shared" si="13"/>
        <v>2082239.0603167221</v>
      </c>
      <c r="M44">
        <f t="shared" si="10"/>
        <v>101948.26436519214</v>
      </c>
      <c r="N44">
        <f t="shared" si="11"/>
        <v>0</v>
      </c>
      <c r="O44">
        <f t="shared" si="12"/>
        <v>0</v>
      </c>
      <c r="P44" t="str">
        <f t="shared" si="14"/>
        <v xml:space="preserve"> -   </v>
      </c>
      <c r="Q44" t="str">
        <f t="shared" si="15"/>
        <v xml:space="preserve"> -   </v>
      </c>
      <c r="R44">
        <f t="shared" si="16"/>
        <v>2184187.3246819144</v>
      </c>
      <c r="S44" s="6">
        <f t="shared" si="17"/>
        <v>-6.371412847849367E-2</v>
      </c>
    </row>
    <row r="45" spans="1:19" x14ac:dyDescent="0.2">
      <c r="A45" s="2">
        <v>2024</v>
      </c>
      <c r="B45" s="1">
        <v>10.4</v>
      </c>
      <c r="C45" s="4">
        <v>214191682</v>
      </c>
      <c r="D45" s="4">
        <v>50202820</v>
      </c>
      <c r="E45" s="4">
        <v>15508496</v>
      </c>
      <c r="F45" s="4">
        <v>391932</v>
      </c>
      <c r="G45" s="4">
        <v>61875</v>
      </c>
      <c r="H45" s="4">
        <v>9591</v>
      </c>
      <c r="J45" s="4">
        <v>286285448</v>
      </c>
      <c r="L45">
        <f t="shared" si="13"/>
        <v>2132681.0364111173</v>
      </c>
      <c r="M45">
        <f t="shared" si="10"/>
        <v>97938.755970860686</v>
      </c>
      <c r="N45">
        <f t="shared" si="11"/>
        <v>0</v>
      </c>
      <c r="O45">
        <f t="shared" si="12"/>
        <v>0</v>
      </c>
      <c r="P45">
        <f t="shared" ref="P45:P71" si="18">G45*1000*G$2*$L$75/1000000</f>
        <v>0</v>
      </c>
      <c r="Q45">
        <f t="shared" ref="Q45:Q71" si="19">H45*1000*H$2*$J$75/1000000</f>
        <v>0</v>
      </c>
      <c r="R45">
        <f t="shared" si="16"/>
        <v>2230619.7923819781</v>
      </c>
      <c r="S45" s="6">
        <f t="shared" si="17"/>
        <v>-8.6327057028416476E-2</v>
      </c>
    </row>
    <row r="46" spans="1:19" x14ac:dyDescent="0.2">
      <c r="A46" s="2">
        <v>2025</v>
      </c>
      <c r="B46" s="1">
        <v>10.6</v>
      </c>
      <c r="C46" s="4">
        <v>220538033</v>
      </c>
      <c r="D46" s="4">
        <v>48515066</v>
      </c>
      <c r="E46" s="4">
        <v>15775916</v>
      </c>
      <c r="F46" s="4">
        <v>478428</v>
      </c>
      <c r="G46" s="4">
        <v>86859</v>
      </c>
      <c r="H46" s="4">
        <v>12683</v>
      </c>
      <c r="J46" s="4">
        <v>291222001</v>
      </c>
      <c r="L46">
        <f t="shared" si="13"/>
        <v>2195870.8965482102</v>
      </c>
      <c r="M46">
        <f t="shared" si="10"/>
        <v>94646.181427342133</v>
      </c>
      <c r="N46">
        <f t="shared" si="11"/>
        <v>0</v>
      </c>
      <c r="O46">
        <f t="shared" si="12"/>
        <v>0</v>
      </c>
      <c r="P46">
        <f t="shared" si="18"/>
        <v>0</v>
      </c>
      <c r="Q46">
        <f t="shared" si="19"/>
        <v>0</v>
      </c>
      <c r="R46">
        <f t="shared" si="16"/>
        <v>2290517.0779755525</v>
      </c>
      <c r="S46" s="6">
        <f t="shared" si="17"/>
        <v>-0.11549744375459836</v>
      </c>
    </row>
    <row r="47" spans="1:19" x14ac:dyDescent="0.2">
      <c r="A47" s="2">
        <v>2026</v>
      </c>
      <c r="B47" s="1">
        <v>10.8</v>
      </c>
      <c r="C47" s="4">
        <v>226444170</v>
      </c>
      <c r="D47" s="4">
        <v>46792620</v>
      </c>
      <c r="E47" s="4">
        <v>16016651</v>
      </c>
      <c r="F47" s="4">
        <v>582875</v>
      </c>
      <c r="G47" s="4">
        <v>121695</v>
      </c>
      <c r="H47" s="4">
        <v>16739</v>
      </c>
      <c r="J47" s="4">
        <v>295665950</v>
      </c>
      <c r="L47">
        <f t="shared" si="13"/>
        <v>2254677.5983805717</v>
      </c>
      <c r="M47">
        <f t="shared" si="10"/>
        <v>91285.927591661486</v>
      </c>
      <c r="N47">
        <f t="shared" si="11"/>
        <v>0</v>
      </c>
      <c r="O47">
        <f t="shared" si="12"/>
        <v>0</v>
      </c>
      <c r="P47">
        <f t="shared" si="18"/>
        <v>0</v>
      </c>
      <c r="Q47">
        <f t="shared" si="19"/>
        <v>0</v>
      </c>
      <c r="R47">
        <f t="shared" si="16"/>
        <v>2345963.5259722332</v>
      </c>
      <c r="S47" s="6">
        <f t="shared" si="17"/>
        <v>-0.14250024220578283</v>
      </c>
    </row>
    <row r="48" spans="1:19" x14ac:dyDescent="0.2">
      <c r="A48" s="2">
        <v>2027</v>
      </c>
      <c r="B48" s="1">
        <v>10.9</v>
      </c>
      <c r="C48" s="4">
        <v>232112513</v>
      </c>
      <c r="D48" s="4">
        <v>45089631</v>
      </c>
      <c r="E48" s="4">
        <v>16246036</v>
      </c>
      <c r="F48" s="4">
        <v>709467</v>
      </c>
      <c r="G48" s="4">
        <v>170344</v>
      </c>
      <c r="H48" s="4">
        <v>22073</v>
      </c>
      <c r="J48" s="4">
        <v>299900385</v>
      </c>
      <c r="L48">
        <f t="shared" si="13"/>
        <v>2311116.6137106526</v>
      </c>
      <c r="M48">
        <f t="shared" si="10"/>
        <v>87963.631670992894</v>
      </c>
      <c r="N48">
        <f t="shared" si="11"/>
        <v>0</v>
      </c>
      <c r="O48">
        <f t="shared" si="12"/>
        <v>0</v>
      </c>
      <c r="P48">
        <f t="shared" si="18"/>
        <v>0</v>
      </c>
      <c r="Q48">
        <f t="shared" si="19"/>
        <v>0</v>
      </c>
      <c r="R48">
        <f t="shared" si="16"/>
        <v>2399080.2453816454</v>
      </c>
      <c r="S48" s="6">
        <f t="shared" si="17"/>
        <v>-0.16836844694067099</v>
      </c>
    </row>
    <row r="49" spans="1:19" x14ac:dyDescent="0.2">
      <c r="A49" s="2">
        <v>2028</v>
      </c>
      <c r="B49" s="1">
        <v>11.1</v>
      </c>
      <c r="C49" s="4">
        <v>236962105</v>
      </c>
      <c r="D49" s="4">
        <v>43305715</v>
      </c>
      <c r="E49" s="4">
        <v>16424508</v>
      </c>
      <c r="F49" s="4">
        <v>860713</v>
      </c>
      <c r="G49" s="4">
        <v>237657</v>
      </c>
      <c r="H49" s="4">
        <v>29009</v>
      </c>
      <c r="J49" s="4">
        <v>303194945</v>
      </c>
      <c r="L49">
        <f t="shared" si="13"/>
        <v>2359403.4229656029</v>
      </c>
      <c r="M49">
        <f t="shared" si="10"/>
        <v>84483.458370040593</v>
      </c>
      <c r="N49">
        <f t="shared" si="11"/>
        <v>0</v>
      </c>
      <c r="O49">
        <f t="shared" si="12"/>
        <v>0</v>
      </c>
      <c r="P49">
        <f t="shared" si="18"/>
        <v>0</v>
      </c>
      <c r="Q49">
        <f t="shared" si="19"/>
        <v>0</v>
      </c>
      <c r="R49">
        <f t="shared" si="16"/>
        <v>2443886.8813356436</v>
      </c>
      <c r="S49" s="6">
        <f t="shared" si="17"/>
        <v>-0.19018958433821598</v>
      </c>
    </row>
    <row r="50" spans="1:19" x14ac:dyDescent="0.2">
      <c r="A50" s="2">
        <v>2029</v>
      </c>
      <c r="B50" s="1">
        <v>11.2</v>
      </c>
      <c r="C50" s="4">
        <v>242137195</v>
      </c>
      <c r="D50" s="4">
        <v>41661440</v>
      </c>
      <c r="E50" s="4">
        <v>16632511</v>
      </c>
      <c r="F50" s="4">
        <v>1045936</v>
      </c>
      <c r="G50" s="4">
        <v>332121</v>
      </c>
      <c r="H50" s="4">
        <v>38190</v>
      </c>
      <c r="J50" s="4">
        <v>307034667</v>
      </c>
      <c r="L50">
        <f>C50*1000*C$2*$D$75/1000000</f>
        <v>2410931.1769925817</v>
      </c>
      <c r="M50">
        <f t="shared" si="10"/>
        <v>81275.705339952081</v>
      </c>
      <c r="N50">
        <f t="shared" si="11"/>
        <v>0</v>
      </c>
      <c r="O50">
        <f t="shared" si="12"/>
        <v>0</v>
      </c>
      <c r="P50">
        <f t="shared" si="18"/>
        <v>0</v>
      </c>
      <c r="Q50">
        <f t="shared" si="19"/>
        <v>0</v>
      </c>
      <c r="R50">
        <f t="shared" si="16"/>
        <v>2492206.8823325336</v>
      </c>
      <c r="S50" s="6">
        <f t="shared" si="17"/>
        <v>-0.21372175448116471</v>
      </c>
    </row>
    <row r="51" spans="1:19" x14ac:dyDescent="0.2">
      <c r="A51" s="2">
        <v>2030</v>
      </c>
      <c r="B51" s="1">
        <v>11.3</v>
      </c>
      <c r="C51" s="4">
        <v>247061430</v>
      </c>
      <c r="D51" s="4">
        <v>40049730</v>
      </c>
      <c r="E51" s="4">
        <v>16830597</v>
      </c>
      <c r="F51" s="4">
        <v>1270071</v>
      </c>
      <c r="G51" s="4">
        <v>463785</v>
      </c>
      <c r="H51" s="4">
        <v>50238</v>
      </c>
      <c r="J51" s="4">
        <v>310691318</v>
      </c>
      <c r="L51">
        <f t="shared" si="13"/>
        <v>2459961.1976977359</v>
      </c>
      <c r="M51">
        <f t="shared" si="10"/>
        <v>78131.482119308392</v>
      </c>
      <c r="N51">
        <f t="shared" si="11"/>
        <v>0</v>
      </c>
      <c r="O51">
        <f t="shared" si="12"/>
        <v>0</v>
      </c>
      <c r="P51">
        <f t="shared" si="18"/>
        <v>0</v>
      </c>
      <c r="Q51">
        <f t="shared" si="19"/>
        <v>0</v>
      </c>
      <c r="R51">
        <f t="shared" si="16"/>
        <v>2538092.6798170442</v>
      </c>
      <c r="S51" s="6">
        <f t="shared" si="17"/>
        <v>-0.23606845090652073</v>
      </c>
    </row>
    <row r="52" spans="1:19" x14ac:dyDescent="0.2">
      <c r="A52" s="2">
        <v>2031</v>
      </c>
      <c r="B52" s="1">
        <v>11.4</v>
      </c>
      <c r="C52" s="4">
        <v>251309015</v>
      </c>
      <c r="D52" s="4">
        <v>38409907</v>
      </c>
      <c r="E52" s="4">
        <v>16991025</v>
      </c>
      <c r="F52" s="4">
        <v>1538612</v>
      </c>
      <c r="G52" s="4">
        <v>646124</v>
      </c>
      <c r="H52" s="4">
        <v>65932</v>
      </c>
      <c r="J52" s="4">
        <v>313652805</v>
      </c>
      <c r="L52">
        <f t="shared" si="13"/>
        <v>2502253.8950399435</v>
      </c>
      <c r="M52">
        <f t="shared" si="10"/>
        <v>74932.414325260077</v>
      </c>
      <c r="N52">
        <f t="shared" si="11"/>
        <v>0</v>
      </c>
      <c r="O52">
        <f t="shared" si="12"/>
        <v>0</v>
      </c>
      <c r="P52">
        <f t="shared" si="18"/>
        <v>0</v>
      </c>
      <c r="Q52">
        <f t="shared" si="19"/>
        <v>0</v>
      </c>
      <c r="R52">
        <f t="shared" si="16"/>
        <v>2577186.3093652036</v>
      </c>
      <c r="S52" s="6">
        <f t="shared" si="17"/>
        <v>-0.25510731520811514</v>
      </c>
    </row>
    <row r="53" spans="1:19" x14ac:dyDescent="0.2">
      <c r="A53" s="2">
        <v>2032</v>
      </c>
      <c r="B53" s="1">
        <v>11.5</v>
      </c>
      <c r="C53" s="4">
        <v>255162821</v>
      </c>
      <c r="D53" s="4">
        <v>36797862</v>
      </c>
      <c r="E53" s="4">
        <v>17134653</v>
      </c>
      <c r="F53" s="4">
        <v>1861942</v>
      </c>
      <c r="G53" s="4">
        <v>899188</v>
      </c>
      <c r="H53" s="4">
        <v>86436</v>
      </c>
      <c r="J53" s="4">
        <v>316304164</v>
      </c>
      <c r="L53">
        <f t="shared" si="13"/>
        <v>2540625.7818352832</v>
      </c>
      <c r="M53">
        <f t="shared" si="10"/>
        <v>71787.537565965555</v>
      </c>
      <c r="N53">
        <f t="shared" si="11"/>
        <v>0</v>
      </c>
      <c r="O53">
        <f t="shared" si="12"/>
        <v>0</v>
      </c>
      <c r="P53">
        <f t="shared" si="18"/>
        <v>0</v>
      </c>
      <c r="Q53">
        <f t="shared" si="19"/>
        <v>0</v>
      </c>
      <c r="R53">
        <f t="shared" si="16"/>
        <v>2612413.3194012488</v>
      </c>
      <c r="S53" s="6">
        <f t="shared" si="17"/>
        <v>-0.27226310942775789</v>
      </c>
    </row>
    <row r="54" spans="1:19" x14ac:dyDescent="0.2">
      <c r="A54" s="2">
        <v>2033</v>
      </c>
      <c r="B54" s="1">
        <v>11.6</v>
      </c>
      <c r="C54" s="4">
        <v>259041323</v>
      </c>
      <c r="D54" s="4">
        <v>35277188</v>
      </c>
      <c r="E54" s="4">
        <v>17291118</v>
      </c>
      <c r="F54" s="4">
        <v>2254733</v>
      </c>
      <c r="G54" s="4">
        <v>1252211</v>
      </c>
      <c r="H54" s="4">
        <v>113393</v>
      </c>
      <c r="J54" s="4">
        <v>319192495</v>
      </c>
      <c r="L54">
        <f t="shared" si="13"/>
        <v>2579243.5637577511</v>
      </c>
      <c r="M54">
        <f t="shared" si="10"/>
        <v>68820.91298596721</v>
      </c>
      <c r="N54">
        <f t="shared" si="11"/>
        <v>0</v>
      </c>
      <c r="O54">
        <f t="shared" si="12"/>
        <v>0</v>
      </c>
      <c r="P54">
        <f t="shared" si="18"/>
        <v>0</v>
      </c>
      <c r="Q54">
        <f t="shared" si="19"/>
        <v>0</v>
      </c>
      <c r="R54">
        <f t="shared" si="16"/>
        <v>2648064.4767437181</v>
      </c>
      <c r="S54" s="6">
        <f t="shared" si="17"/>
        <v>-0.28962546627932362</v>
      </c>
    </row>
    <row r="55" spans="1:19" x14ac:dyDescent="0.2">
      <c r="A55" s="2">
        <v>2034</v>
      </c>
      <c r="B55" s="1">
        <v>11.8</v>
      </c>
      <c r="C55" s="4">
        <v>263110462</v>
      </c>
      <c r="D55" s="4">
        <v>33866073</v>
      </c>
      <c r="E55" s="4">
        <v>17473116</v>
      </c>
      <c r="F55" s="4">
        <v>2734159</v>
      </c>
      <c r="G55" s="4">
        <v>1746240</v>
      </c>
      <c r="H55" s="4">
        <v>148963</v>
      </c>
      <c r="J55" s="4">
        <v>322552160</v>
      </c>
      <c r="L55">
        <f t="shared" si="13"/>
        <v>2619759.4955567312</v>
      </c>
      <c r="M55">
        <f t="shared" si="10"/>
        <v>66068.022856850541</v>
      </c>
      <c r="N55">
        <f t="shared" si="11"/>
        <v>0</v>
      </c>
      <c r="O55">
        <f t="shared" si="12"/>
        <v>0</v>
      </c>
      <c r="P55">
        <f t="shared" si="18"/>
        <v>0</v>
      </c>
      <c r="Q55">
        <f t="shared" si="19"/>
        <v>0</v>
      </c>
      <c r="R55">
        <f t="shared" si="16"/>
        <v>2685827.5184135819</v>
      </c>
      <c r="S55" s="6">
        <f t="shared" si="17"/>
        <v>-0.30801632520641054</v>
      </c>
    </row>
    <row r="56" spans="1:19" x14ac:dyDescent="0.2">
      <c r="A56" s="2">
        <v>2035</v>
      </c>
      <c r="B56" s="1">
        <v>11.8</v>
      </c>
      <c r="C56" s="4">
        <v>266304541</v>
      </c>
      <c r="D56" s="4">
        <v>32429300</v>
      </c>
      <c r="E56" s="4">
        <v>17612438</v>
      </c>
      <c r="F56" s="4">
        <v>3307151</v>
      </c>
      <c r="G56" s="4">
        <v>2429026</v>
      </c>
      <c r="H56" s="4">
        <v>195196</v>
      </c>
      <c r="J56" s="4">
        <v>325124040</v>
      </c>
      <c r="L56">
        <f t="shared" si="13"/>
        <v>2651562.5592821422</v>
      </c>
      <c r="M56">
        <f t="shared" si="10"/>
        <v>63265.077519665865</v>
      </c>
      <c r="N56">
        <f t="shared" si="11"/>
        <v>0</v>
      </c>
      <c r="O56">
        <f t="shared" si="12"/>
        <v>0</v>
      </c>
      <c r="P56">
        <f t="shared" si="18"/>
        <v>0</v>
      </c>
      <c r="Q56">
        <f t="shared" si="19"/>
        <v>0</v>
      </c>
      <c r="R56">
        <f t="shared" si="16"/>
        <v>2714827.6368018081</v>
      </c>
      <c r="S56" s="6">
        <f t="shared" si="17"/>
        <v>-0.32213958071133719</v>
      </c>
    </row>
    <row r="57" spans="1:19" x14ac:dyDescent="0.2">
      <c r="A57" s="2">
        <v>2036</v>
      </c>
      <c r="B57" s="1">
        <v>12</v>
      </c>
      <c r="C57" s="4">
        <v>269642799</v>
      </c>
      <c r="D57" s="4">
        <v>31101413</v>
      </c>
      <c r="E57" s="4">
        <v>17780273</v>
      </c>
      <c r="F57" s="4">
        <v>4006400</v>
      </c>
      <c r="G57" s="4">
        <v>3383999</v>
      </c>
      <c r="H57" s="4">
        <v>256173</v>
      </c>
      <c r="J57" s="4">
        <v>328222249</v>
      </c>
      <c r="L57">
        <f t="shared" si="13"/>
        <v>2684801.196117945</v>
      </c>
      <c r="M57">
        <f t="shared" si="10"/>
        <v>60674.553703476297</v>
      </c>
      <c r="N57">
        <f t="shared" si="11"/>
        <v>0</v>
      </c>
      <c r="O57">
        <f t="shared" si="12"/>
        <v>0</v>
      </c>
      <c r="P57">
        <f t="shared" si="18"/>
        <v>0</v>
      </c>
      <c r="Q57">
        <f t="shared" si="19"/>
        <v>0</v>
      </c>
      <c r="R57">
        <f t="shared" si="16"/>
        <v>2745475.7498214212</v>
      </c>
      <c r="S57" s="6">
        <f t="shared" si="17"/>
        <v>-0.33706542084499702</v>
      </c>
    </row>
    <row r="58" spans="1:19" x14ac:dyDescent="0.2">
      <c r="A58" s="2">
        <v>2037</v>
      </c>
      <c r="B58" s="1">
        <v>12.1</v>
      </c>
      <c r="C58" s="4">
        <v>272533875</v>
      </c>
      <c r="D58" s="4">
        <v>29815506</v>
      </c>
      <c r="E58" s="4">
        <v>17942249</v>
      </c>
      <c r="F58" s="4">
        <v>4851477</v>
      </c>
      <c r="G58" s="4">
        <v>4712460</v>
      </c>
      <c r="H58" s="4">
        <v>336058</v>
      </c>
      <c r="J58" s="4">
        <v>331212313</v>
      </c>
      <c r="L58">
        <f t="shared" si="13"/>
        <v>2713587.2951039146</v>
      </c>
      <c r="M58">
        <f t="shared" si="10"/>
        <v>58165.927059112058</v>
      </c>
      <c r="N58">
        <f t="shared" si="11"/>
        <v>0</v>
      </c>
      <c r="O58">
        <f t="shared" si="12"/>
        <v>0</v>
      </c>
      <c r="P58">
        <f t="shared" si="18"/>
        <v>0</v>
      </c>
      <c r="Q58">
        <f t="shared" si="19"/>
        <v>0</v>
      </c>
      <c r="R58">
        <f t="shared" si="16"/>
        <v>2771753.2221630267</v>
      </c>
      <c r="S58" s="6">
        <f t="shared" si="17"/>
        <v>-0.34986272915029049</v>
      </c>
    </row>
    <row r="59" spans="1:19" x14ac:dyDescent="0.2">
      <c r="A59" s="2">
        <v>2038</v>
      </c>
      <c r="B59" s="1">
        <v>12.2</v>
      </c>
      <c r="C59" s="4">
        <v>275298945</v>
      </c>
      <c r="D59" s="4">
        <v>28614872</v>
      </c>
      <c r="E59" s="4">
        <v>18126038</v>
      </c>
      <c r="F59" s="4">
        <v>5881407</v>
      </c>
      <c r="G59" s="4">
        <v>6569810</v>
      </c>
      <c r="H59" s="4">
        <v>441351</v>
      </c>
      <c r="J59" s="4">
        <v>334605051</v>
      </c>
      <c r="L59">
        <f t="shared" si="13"/>
        <v>2741118.7673734552</v>
      </c>
      <c r="M59">
        <f t="shared" si="10"/>
        <v>55823.656239737407</v>
      </c>
      <c r="N59">
        <f t="shared" si="11"/>
        <v>0</v>
      </c>
      <c r="O59">
        <f t="shared" si="12"/>
        <v>0</v>
      </c>
      <c r="P59">
        <f t="shared" si="18"/>
        <v>0</v>
      </c>
      <c r="Q59">
        <f t="shared" si="19"/>
        <v>0</v>
      </c>
      <c r="R59">
        <f t="shared" si="16"/>
        <v>2796942.4236131925</v>
      </c>
      <c r="S59" s="6">
        <f t="shared" si="17"/>
        <v>-0.36213004210685407</v>
      </c>
    </row>
    <row r="60" spans="1:19" x14ac:dyDescent="0.2">
      <c r="A60" s="2">
        <v>2039</v>
      </c>
      <c r="B60" s="1">
        <v>12.3</v>
      </c>
      <c r="C60" s="4">
        <v>277055524</v>
      </c>
      <c r="D60" s="4">
        <v>27418624</v>
      </c>
      <c r="E60" s="4">
        <v>18282397</v>
      </c>
      <c r="F60" s="4">
        <v>7118569</v>
      </c>
      <c r="G60" s="4">
        <v>9144546</v>
      </c>
      <c r="H60" s="4">
        <v>578706</v>
      </c>
      <c r="J60" s="4">
        <v>337491422</v>
      </c>
      <c r="L60">
        <f t="shared" si="13"/>
        <v>2758608.815013391</v>
      </c>
      <c r="M60">
        <f t="shared" si="10"/>
        <v>53489.941899534402</v>
      </c>
      <c r="N60">
        <f t="shared" si="11"/>
        <v>0</v>
      </c>
      <c r="O60">
        <f t="shared" si="12"/>
        <v>0</v>
      </c>
      <c r="P60">
        <f t="shared" si="18"/>
        <v>0</v>
      </c>
      <c r="Q60">
        <f t="shared" si="19"/>
        <v>0</v>
      </c>
      <c r="R60">
        <f t="shared" si="16"/>
        <v>2812098.7569129253</v>
      </c>
      <c r="S60" s="6">
        <f t="shared" si="17"/>
        <v>-0.36951127982610621</v>
      </c>
    </row>
    <row r="61" spans="1:19" x14ac:dyDescent="0.2">
      <c r="A61" s="2">
        <v>2040</v>
      </c>
      <c r="B61" s="1">
        <v>12.4</v>
      </c>
      <c r="C61" s="4">
        <v>278334493</v>
      </c>
      <c r="D61" s="4">
        <v>26298418</v>
      </c>
      <c r="E61" s="4">
        <v>18458377</v>
      </c>
      <c r="F61" s="4">
        <v>8624508</v>
      </c>
      <c r="G61" s="4">
        <v>12740944</v>
      </c>
      <c r="H61" s="4">
        <v>759559</v>
      </c>
      <c r="J61" s="4">
        <v>340739988</v>
      </c>
      <c r="L61">
        <f t="shared" si="13"/>
        <v>2771343.3568358775</v>
      </c>
      <c r="M61">
        <f t="shared" si="10"/>
        <v>51304.574980482961</v>
      </c>
      <c r="N61">
        <f t="shared" si="11"/>
        <v>0</v>
      </c>
      <c r="O61">
        <f t="shared" si="12"/>
        <v>0</v>
      </c>
      <c r="P61">
        <f t="shared" si="18"/>
        <v>0</v>
      </c>
      <c r="Q61">
        <f t="shared" si="19"/>
        <v>0</v>
      </c>
      <c r="R61">
        <f t="shared" si="16"/>
        <v>2822647.9318163604</v>
      </c>
      <c r="S61" s="6">
        <f t="shared" si="17"/>
        <v>-0.37464879997457112</v>
      </c>
    </row>
    <row r="62" spans="1:19" x14ac:dyDescent="0.2">
      <c r="A62" s="2">
        <v>2041</v>
      </c>
      <c r="B62" s="1">
        <v>12.5</v>
      </c>
      <c r="C62" s="4">
        <v>278115260</v>
      </c>
      <c r="D62" s="4">
        <v>25178894</v>
      </c>
      <c r="E62" s="4">
        <v>18602740</v>
      </c>
      <c r="F62" s="4">
        <v>10430353</v>
      </c>
      <c r="G62" s="4">
        <v>17720015</v>
      </c>
      <c r="H62" s="4">
        <v>995149</v>
      </c>
      <c r="J62" s="4">
        <v>343404925</v>
      </c>
      <c r="L62">
        <f t="shared" si="13"/>
        <v>2769160.4799972917</v>
      </c>
      <c r="M62">
        <f t="shared" si="10"/>
        <v>49120.53854907291</v>
      </c>
      <c r="N62">
        <f t="shared" si="11"/>
        <v>0</v>
      </c>
      <c r="O62">
        <f t="shared" si="12"/>
        <v>0</v>
      </c>
      <c r="P62">
        <f t="shared" si="18"/>
        <v>0</v>
      </c>
      <c r="Q62">
        <f t="shared" si="19"/>
        <v>0</v>
      </c>
      <c r="R62">
        <f t="shared" si="16"/>
        <v>2818281.0185463647</v>
      </c>
      <c r="S62" s="6">
        <f t="shared" si="17"/>
        <v>-0.37252208341933635</v>
      </c>
    </row>
    <row r="63" spans="1:19" x14ac:dyDescent="0.2">
      <c r="A63" s="2">
        <v>2042</v>
      </c>
      <c r="B63" s="1">
        <v>12.6</v>
      </c>
      <c r="C63" s="4">
        <v>276880012</v>
      </c>
      <c r="D63" s="4">
        <v>24134983</v>
      </c>
      <c r="E63" s="4">
        <v>18769974</v>
      </c>
      <c r="F63" s="4">
        <v>12628942</v>
      </c>
      <c r="G63" s="4">
        <v>24673453</v>
      </c>
      <c r="H63" s="4">
        <v>1305324</v>
      </c>
      <c r="J63" s="4">
        <v>346492042</v>
      </c>
      <c r="L63">
        <f t="shared" si="13"/>
        <v>2756861.2629582998</v>
      </c>
      <c r="M63">
        <f t="shared" si="10"/>
        <v>47084.012619169021</v>
      </c>
      <c r="N63">
        <f t="shared" si="11"/>
        <v>0</v>
      </c>
      <c r="O63">
        <f t="shared" si="12"/>
        <v>0</v>
      </c>
      <c r="P63">
        <f t="shared" si="18"/>
        <v>0</v>
      </c>
      <c r="Q63">
        <f t="shared" si="19"/>
        <v>0</v>
      </c>
      <c r="R63">
        <f t="shared" si="16"/>
        <v>2803945.2755774688</v>
      </c>
      <c r="S63" s="6">
        <f t="shared" si="17"/>
        <v>-0.36554047878958174</v>
      </c>
    </row>
    <row r="64" spans="1:19" x14ac:dyDescent="0.2">
      <c r="A64" s="2">
        <v>2043</v>
      </c>
      <c r="B64" s="1">
        <v>12.7</v>
      </c>
      <c r="C64" s="4">
        <v>273008485</v>
      </c>
      <c r="D64" s="4">
        <v>23063745</v>
      </c>
      <c r="E64" s="4">
        <v>18880908</v>
      </c>
      <c r="F64" s="4">
        <v>15244299</v>
      </c>
      <c r="G64" s="4">
        <v>34250604</v>
      </c>
      <c r="H64" s="4">
        <v>1706951</v>
      </c>
      <c r="J64" s="4">
        <v>348539888</v>
      </c>
      <c r="L64">
        <f t="shared" si="13"/>
        <v>2718312.9302790985</v>
      </c>
      <c r="M64">
        <f t="shared" si="10"/>
        <v>44994.175493112896</v>
      </c>
      <c r="N64">
        <f t="shared" si="11"/>
        <v>0</v>
      </c>
      <c r="O64">
        <f t="shared" si="12"/>
        <v>0</v>
      </c>
      <c r="P64">
        <f t="shared" si="18"/>
        <v>0</v>
      </c>
      <c r="Q64">
        <f t="shared" si="19"/>
        <v>0</v>
      </c>
      <c r="R64">
        <f t="shared" si="16"/>
        <v>2763307.1057722112</v>
      </c>
      <c r="S64" s="6">
        <f t="shared" si="17"/>
        <v>-0.34574941284533822</v>
      </c>
    </row>
    <row r="65" spans="1:19" x14ac:dyDescent="0.2">
      <c r="A65" s="2">
        <v>2044</v>
      </c>
      <c r="B65" s="1">
        <v>12.8</v>
      </c>
      <c r="C65" s="4">
        <v>267322633</v>
      </c>
      <c r="D65" s="4">
        <v>22088131</v>
      </c>
      <c r="E65" s="4">
        <v>19033928</v>
      </c>
      <c r="F65" s="4">
        <v>18441415</v>
      </c>
      <c r="G65" s="4">
        <v>47648898</v>
      </c>
      <c r="H65" s="4">
        <v>2237020</v>
      </c>
      <c r="J65" s="4">
        <v>351364619</v>
      </c>
      <c r="L65">
        <f t="shared" si="13"/>
        <v>2661699.579923877</v>
      </c>
      <c r="M65">
        <f t="shared" si="10"/>
        <v>43090.887560925919</v>
      </c>
      <c r="N65">
        <f t="shared" si="11"/>
        <v>0</v>
      </c>
      <c r="O65">
        <f t="shared" si="12"/>
        <v>0</v>
      </c>
      <c r="P65">
        <f t="shared" si="18"/>
        <v>0</v>
      </c>
      <c r="Q65">
        <f t="shared" si="19"/>
        <v>0</v>
      </c>
      <c r="R65">
        <f t="shared" si="16"/>
        <v>2704790.4674848029</v>
      </c>
      <c r="S65" s="6">
        <f t="shared" si="17"/>
        <v>-0.31725141077656116</v>
      </c>
    </row>
    <row r="66" spans="1:19" x14ac:dyDescent="0.2">
      <c r="A66" s="2">
        <v>2045</v>
      </c>
      <c r="B66" s="1">
        <v>12.9</v>
      </c>
      <c r="C66" s="4">
        <v>258695420</v>
      </c>
      <c r="D66" s="4">
        <v>21180754</v>
      </c>
      <c r="E66" s="4">
        <v>19212650</v>
      </c>
      <c r="F66" s="4">
        <v>22337488</v>
      </c>
      <c r="G66" s="4">
        <v>66372901</v>
      </c>
      <c r="H66" s="4">
        <v>2935432</v>
      </c>
      <c r="J66" s="4">
        <v>354663809</v>
      </c>
      <c r="L66">
        <f t="shared" si="13"/>
        <v>2575799.4488339149</v>
      </c>
      <c r="M66">
        <f t="shared" si="10"/>
        <v>41320.720574757179</v>
      </c>
      <c r="N66">
        <f t="shared" si="11"/>
        <v>0</v>
      </c>
      <c r="O66">
        <f t="shared" si="12"/>
        <v>0</v>
      </c>
      <c r="P66">
        <f t="shared" si="18"/>
        <v>0</v>
      </c>
      <c r="Q66">
        <f t="shared" si="19"/>
        <v>0</v>
      </c>
      <c r="R66">
        <f t="shared" si="16"/>
        <v>2617120.169408672</v>
      </c>
      <c r="S66" s="6">
        <f t="shared" si="17"/>
        <v>-0.27455537749329761</v>
      </c>
    </row>
    <row r="67" spans="1:19" x14ac:dyDescent="0.2">
      <c r="A67" s="2">
        <v>2046</v>
      </c>
      <c r="B67" s="1">
        <v>13</v>
      </c>
      <c r="C67" s="4">
        <v>245475349</v>
      </c>
      <c r="D67" s="4">
        <v>20300765</v>
      </c>
      <c r="E67" s="4">
        <v>19383610</v>
      </c>
      <c r="F67" s="4">
        <v>27043504</v>
      </c>
      <c r="G67" s="4">
        <v>92409637</v>
      </c>
      <c r="H67" s="4">
        <v>3850018</v>
      </c>
      <c r="J67" s="4">
        <v>357819704</v>
      </c>
      <c r="L67">
        <f t="shared" si="13"/>
        <v>2444168.7783127856</v>
      </c>
      <c r="M67">
        <f t="shared" si="10"/>
        <v>39603.983787300982</v>
      </c>
      <c r="N67">
        <f t="shared" si="11"/>
        <v>0</v>
      </c>
      <c r="O67">
        <f t="shared" si="12"/>
        <v>0</v>
      </c>
      <c r="P67">
        <f t="shared" si="18"/>
        <v>0</v>
      </c>
      <c r="Q67">
        <f t="shared" si="19"/>
        <v>0</v>
      </c>
      <c r="R67">
        <f t="shared" si="16"/>
        <v>2483772.7621000865</v>
      </c>
      <c r="S67" s="6">
        <f t="shared" si="17"/>
        <v>-0.20961428038718033</v>
      </c>
    </row>
    <row r="68" spans="1:19" x14ac:dyDescent="0.2">
      <c r="A68" s="2">
        <v>2047</v>
      </c>
      <c r="B68" s="1">
        <v>13.1</v>
      </c>
      <c r="C68" s="4">
        <v>225798934</v>
      </c>
      <c r="D68" s="4">
        <v>19424936</v>
      </c>
      <c r="E68" s="4">
        <v>19523525</v>
      </c>
      <c r="F68" s="4">
        <v>32686452</v>
      </c>
      <c r="G68" s="4">
        <v>128445805</v>
      </c>
      <c r="H68" s="4">
        <v>5041151</v>
      </c>
      <c r="J68" s="4">
        <v>360402528</v>
      </c>
      <c r="L68">
        <f t="shared" si="13"/>
        <v>2248253.0604696656</v>
      </c>
      <c r="M68">
        <f t="shared" si="10"/>
        <v>37895.362584284834</v>
      </c>
      <c r="N68">
        <f t="shared" si="11"/>
        <v>0</v>
      </c>
      <c r="O68">
        <f t="shared" si="12"/>
        <v>0</v>
      </c>
      <c r="P68">
        <f t="shared" si="18"/>
        <v>0</v>
      </c>
      <c r="Q68">
        <f t="shared" si="19"/>
        <v>0</v>
      </c>
      <c r="R68">
        <f t="shared" si="16"/>
        <v>2286148.4230539505</v>
      </c>
      <c r="S68" s="6">
        <f t="shared" si="17"/>
        <v>-0.11336987900314943</v>
      </c>
    </row>
    <row r="69" spans="1:19" x14ac:dyDescent="0.2">
      <c r="A69" s="2">
        <v>2048</v>
      </c>
      <c r="B69" s="1">
        <v>13.2</v>
      </c>
      <c r="C69" s="4">
        <v>198094716</v>
      </c>
      <c r="D69" s="4">
        <v>18603779</v>
      </c>
      <c r="E69" s="4">
        <v>19682317</v>
      </c>
      <c r="F69" s="4">
        <v>39542763</v>
      </c>
      <c r="G69" s="4">
        <v>178696890</v>
      </c>
      <c r="H69" s="4">
        <v>6606799</v>
      </c>
      <c r="J69" s="4">
        <v>363333810</v>
      </c>
      <c r="L69">
        <f t="shared" si="13"/>
        <v>1972405.4654300064</v>
      </c>
      <c r="M69">
        <f t="shared" si="10"/>
        <v>36293.398889082768</v>
      </c>
      <c r="N69">
        <f t="shared" si="11"/>
        <v>0</v>
      </c>
      <c r="O69">
        <f t="shared" si="12"/>
        <v>0</v>
      </c>
      <c r="P69">
        <f t="shared" si="18"/>
        <v>0</v>
      </c>
      <c r="Q69">
        <f t="shared" si="19"/>
        <v>0</v>
      </c>
      <c r="R69">
        <f t="shared" si="16"/>
        <v>2008698.8643190891</v>
      </c>
      <c r="S69" s="6">
        <f t="shared" si="17"/>
        <v>2.1749948967363819E-2</v>
      </c>
    </row>
    <row r="70" spans="1:19" x14ac:dyDescent="0.2">
      <c r="A70" s="2">
        <v>2049</v>
      </c>
      <c r="B70" s="1">
        <v>13.4</v>
      </c>
      <c r="C70" s="4">
        <v>159220164</v>
      </c>
      <c r="D70" s="4">
        <v>17828961</v>
      </c>
      <c r="E70" s="4">
        <v>19855346</v>
      </c>
      <c r="F70" s="4">
        <v>47868465</v>
      </c>
      <c r="G70" s="4">
        <v>248769613</v>
      </c>
      <c r="H70" s="4">
        <v>8664344</v>
      </c>
      <c r="J70" s="4">
        <v>366527919</v>
      </c>
      <c r="L70">
        <f t="shared" si="13"/>
        <v>1585336.1867575606</v>
      </c>
      <c r="M70">
        <f t="shared" si="10"/>
        <v>34781.836171613315</v>
      </c>
      <c r="N70">
        <f t="shared" si="11"/>
        <v>0</v>
      </c>
      <c r="O70">
        <f t="shared" si="12"/>
        <v>0</v>
      </c>
      <c r="P70">
        <f t="shared" si="18"/>
        <v>0</v>
      </c>
      <c r="Q70">
        <f t="shared" si="19"/>
        <v>0</v>
      </c>
      <c r="R70">
        <f t="shared" si="16"/>
        <v>1620118.0229291739</v>
      </c>
      <c r="S70" s="6">
        <f t="shared" si="17"/>
        <v>0.21099146977085459</v>
      </c>
    </row>
    <row r="71" spans="1:19" x14ac:dyDescent="0.2">
      <c r="A71" s="2">
        <v>2050</v>
      </c>
      <c r="B71" s="1">
        <v>13.5</v>
      </c>
      <c r="C71" s="4">
        <v>104780395</v>
      </c>
      <c r="D71" s="4">
        <v>17076131</v>
      </c>
      <c r="E71" s="4">
        <v>20017844</v>
      </c>
      <c r="F71" s="4">
        <v>57912270</v>
      </c>
      <c r="G71" s="4">
        <v>346111681</v>
      </c>
      <c r="H71" s="4">
        <v>11355830</v>
      </c>
      <c r="J71" s="4">
        <v>369527617</v>
      </c>
      <c r="L71">
        <f t="shared" si="13"/>
        <v>1043285.8984886548</v>
      </c>
      <c r="M71">
        <f t="shared" si="10"/>
        <v>33313.168999977468</v>
      </c>
      <c r="N71">
        <f t="shared" si="11"/>
        <v>0</v>
      </c>
      <c r="O71">
        <f t="shared" si="12"/>
        <v>0</v>
      </c>
      <c r="P71">
        <f t="shared" si="18"/>
        <v>0</v>
      </c>
      <c r="Q71">
        <f t="shared" si="19"/>
        <v>0</v>
      </c>
      <c r="R71">
        <f t="shared" si="16"/>
        <v>1076599.0674886322</v>
      </c>
      <c r="S71" s="6">
        <f t="shared" si="17"/>
        <v>0.47568890916386708</v>
      </c>
    </row>
    <row r="72" spans="1:19" x14ac:dyDescent="0.2">
      <c r="A72" s="1"/>
      <c r="B72" s="1"/>
      <c r="C72" s="1"/>
      <c r="D72" s="1"/>
      <c r="E72" s="1"/>
      <c r="F72" s="1"/>
      <c r="G72" s="1"/>
      <c r="H72" s="1"/>
      <c r="J72" s="1"/>
    </row>
    <row r="73" spans="1:19" x14ac:dyDescent="0.2">
      <c r="A73" s="1" t="s">
        <v>33</v>
      </c>
      <c r="B73" s="1"/>
      <c r="C73" s="1"/>
      <c r="D73" s="1"/>
      <c r="E73" s="1"/>
      <c r="F73" s="1"/>
      <c r="G73" s="1"/>
      <c r="H73" s="1"/>
      <c r="J73" s="1"/>
    </row>
    <row r="74" spans="1:19" s="8" customFormat="1" ht="51" x14ac:dyDescent="0.2">
      <c r="C74" s="8" t="s">
        <v>17</v>
      </c>
      <c r="D74" s="8" t="s">
        <v>18</v>
      </c>
      <c r="E74" s="8" t="s">
        <v>19</v>
      </c>
      <c r="F74" s="8" t="s">
        <v>20</v>
      </c>
      <c r="G74" s="8" t="s">
        <v>21</v>
      </c>
      <c r="H74" s="8" t="s">
        <v>22</v>
      </c>
      <c r="I74" s="8" t="s">
        <v>11</v>
      </c>
      <c r="J74" s="8" t="s">
        <v>24</v>
      </c>
      <c r="K74" s="8" t="s">
        <v>25</v>
      </c>
      <c r="L74" s="8" t="s">
        <v>26</v>
      </c>
      <c r="M74" t="s">
        <v>27</v>
      </c>
    </row>
    <row r="75" spans="1:19" x14ac:dyDescent="0.2">
      <c r="A75" s="1" t="s">
        <v>34</v>
      </c>
      <c r="B75" s="1" t="s">
        <v>16</v>
      </c>
      <c r="C75" s="1">
        <v>1.3374914447166923</v>
      </c>
      <c r="D75" s="1">
        <v>0.24768360087346158</v>
      </c>
      <c r="E75" s="1">
        <v>4.9536720174692322E-2</v>
      </c>
      <c r="F75">
        <v>0.45687626328887693</v>
      </c>
      <c r="G75" s="1">
        <v>0.22843813164443846</v>
      </c>
      <c r="H75" s="1">
        <v>4.5687626328887683E-2</v>
      </c>
      <c r="I75" s="1">
        <v>0</v>
      </c>
      <c r="J75" s="1">
        <v>0</v>
      </c>
      <c r="K75" s="1">
        <v>0</v>
      </c>
      <c r="L75" s="1">
        <v>0</v>
      </c>
    </row>
    <row r="76" spans="1:19" ht="17" x14ac:dyDescent="0.2">
      <c r="A76" s="8" t="s">
        <v>35</v>
      </c>
      <c r="B76" s="1" t="s">
        <v>16</v>
      </c>
      <c r="C76" s="1">
        <v>1.3374914447166926</v>
      </c>
      <c r="D76" s="1">
        <v>0.24768360087346158</v>
      </c>
      <c r="E76" s="1">
        <v>4.9536720174692322E-2</v>
      </c>
      <c r="F76">
        <v>0.45687626328887687</v>
      </c>
      <c r="G76" s="1">
        <v>0.22843813164443844</v>
      </c>
      <c r="H76" s="1">
        <v>4.568762632888769E-2</v>
      </c>
      <c r="I76" s="1">
        <v>0</v>
      </c>
      <c r="J76" s="1">
        <v>0</v>
      </c>
      <c r="K76" s="1">
        <v>0</v>
      </c>
      <c r="L76" s="1">
        <v>0</v>
      </c>
    </row>
    <row r="77" spans="1:19" x14ac:dyDescent="0.2">
      <c r="A77" s="1"/>
      <c r="B77" s="1"/>
      <c r="C77" s="1"/>
      <c r="D77" s="1"/>
      <c r="E77" s="1"/>
      <c r="F77" s="1"/>
      <c r="G77" s="1"/>
      <c r="H77" s="1"/>
      <c r="J77" s="1"/>
    </row>
    <row r="78" spans="1:19" x14ac:dyDescent="0.2">
      <c r="A78" s="1"/>
      <c r="B78" s="1"/>
      <c r="C78" s="1"/>
      <c r="D78" s="1"/>
      <c r="E78" s="1"/>
      <c r="F78" s="1"/>
      <c r="G78" s="1"/>
      <c r="H78" s="1"/>
      <c r="J78" s="1"/>
    </row>
  </sheetData>
  <mergeCells count="2">
    <mergeCell ref="L2:S2"/>
    <mergeCell ref="L38:S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06E4E-CFC6-534C-ACD6-B0E300F5B112}">
  <dimension ref="A1:Z80"/>
  <sheetViews>
    <sheetView topLeftCell="A46" workbookViewId="0">
      <selection activeCell="R40" sqref="R40:R71"/>
    </sheetView>
  </sheetViews>
  <sheetFormatPr baseColWidth="10" defaultRowHeight="16" x14ac:dyDescent="0.2"/>
  <cols>
    <col min="2" max="2" width="35.1640625" customWidth="1"/>
    <col min="10" max="10" width="11.1640625" bestFit="1" customWidth="1"/>
    <col min="12" max="14" width="12.1640625" bestFit="1" customWidth="1"/>
    <col min="15" max="15" width="11.1640625" bestFit="1" customWidth="1"/>
  </cols>
  <sheetData>
    <row r="1" spans="1:26" ht="22" x14ac:dyDescent="0.3">
      <c r="A1" s="10" t="s">
        <v>41</v>
      </c>
    </row>
    <row r="2" spans="1:26" x14ac:dyDescent="0.2">
      <c r="A2" s="1"/>
      <c r="B2" s="1"/>
      <c r="C2" s="1">
        <v>40.200000000000003</v>
      </c>
      <c r="D2" s="1">
        <v>42.7</v>
      </c>
      <c r="E2" s="1">
        <v>48</v>
      </c>
      <c r="F2" s="1">
        <v>19.899999999999999</v>
      </c>
      <c r="G2" s="1">
        <v>18.600000000000001</v>
      </c>
      <c r="H2" s="1">
        <v>120</v>
      </c>
      <c r="J2" s="1"/>
      <c r="L2" s="13" t="s">
        <v>31</v>
      </c>
      <c r="M2" s="13"/>
      <c r="N2" s="13"/>
      <c r="O2" s="13"/>
      <c r="P2" s="13"/>
      <c r="Q2" s="13"/>
      <c r="R2" s="13"/>
      <c r="S2" s="13"/>
      <c r="U2" s="13" t="s">
        <v>36</v>
      </c>
      <c r="V2" s="13"/>
      <c r="W2" s="13"/>
      <c r="X2" s="13"/>
      <c r="Y2" s="13"/>
      <c r="Z2" s="13"/>
    </row>
    <row r="3" spans="1:26" x14ac:dyDescent="0.2">
      <c r="A3" s="2" t="s">
        <v>0</v>
      </c>
      <c r="B3" s="3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J3" s="1" t="s">
        <v>15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28</v>
      </c>
      <c r="S3" s="1" t="s">
        <v>30</v>
      </c>
      <c r="U3" s="1" t="s">
        <v>9</v>
      </c>
      <c r="V3" s="1" t="s">
        <v>10</v>
      </c>
      <c r="W3" s="1" t="s">
        <v>11</v>
      </c>
      <c r="X3" s="1" t="s">
        <v>12</v>
      </c>
      <c r="Y3" s="1" t="s">
        <v>13</v>
      </c>
      <c r="Z3" s="1" t="s">
        <v>14</v>
      </c>
    </row>
    <row r="4" spans="1:26" x14ac:dyDescent="0.2">
      <c r="A4" s="2">
        <v>2019</v>
      </c>
      <c r="B4" s="1">
        <v>9.9</v>
      </c>
      <c r="C4" s="4">
        <v>196317426</v>
      </c>
      <c r="D4" s="4">
        <v>50567463</v>
      </c>
      <c r="E4" s="4">
        <v>11574174</v>
      </c>
      <c r="F4" s="4">
        <v>153689</v>
      </c>
      <c r="G4" s="1" t="s">
        <v>8</v>
      </c>
      <c r="H4" s="1" t="s">
        <v>8</v>
      </c>
      <c r="J4" s="7">
        <v>263925621</v>
      </c>
      <c r="L4">
        <f>(C4*U4*C$2*1000*$C$76+C4*(1-U4)*1000*C$2*$C$75)/1000000</f>
        <v>14898578.483475989</v>
      </c>
      <c r="M4">
        <f t="shared" ref="M4:M35" si="0">(D4*V4*D$2*1000*$H$76+D4*(1-V4)*1000*D$2*$H$75)/1000000</f>
        <v>2611341.4690436241</v>
      </c>
      <c r="N4">
        <f t="shared" ref="N4:N35" si="1">(E4*E$2*1000*$I$75)/1000000</f>
        <v>125001.30759957022</v>
      </c>
      <c r="O4">
        <f t="shared" ref="O4:O35" si="2">(F4*X4*F$2*1000*$K$76+F4*(1-X4)*1000*F$2*$K$75)/1000000</f>
        <v>5468.0829423016194</v>
      </c>
      <c r="P4" s="1" t="s">
        <v>8</v>
      </c>
      <c r="Q4" s="1" t="s">
        <v>8</v>
      </c>
      <c r="R4">
        <f>SUM(L4:Q4)</f>
        <v>17640389.343061488</v>
      </c>
      <c r="S4" t="s">
        <v>29</v>
      </c>
      <c r="U4" s="5">
        <v>0.85</v>
      </c>
      <c r="V4" s="5">
        <v>0.02</v>
      </c>
      <c r="W4" t="s">
        <v>29</v>
      </c>
      <c r="X4" s="5">
        <v>0.95</v>
      </c>
      <c r="Y4" t="s">
        <v>29</v>
      </c>
      <c r="Z4" t="s">
        <v>29</v>
      </c>
    </row>
    <row r="5" spans="1:26" x14ac:dyDescent="0.2">
      <c r="A5" s="2">
        <v>2020</v>
      </c>
      <c r="B5" s="1">
        <v>10.4</v>
      </c>
      <c r="C5" s="4">
        <v>198809774</v>
      </c>
      <c r="D5" s="4">
        <v>52244612</v>
      </c>
      <c r="E5" s="4">
        <v>12298869</v>
      </c>
      <c r="F5" s="4">
        <v>176122</v>
      </c>
      <c r="G5" s="1" t="s">
        <v>8</v>
      </c>
      <c r="H5" s="1" t="s">
        <v>8</v>
      </c>
      <c r="J5" s="7">
        <v>269075831</v>
      </c>
      <c r="L5">
        <f t="shared" ref="L5:L35" si="3">(C5*U5*C$2*1000*$D$76+C5*(1-U5)*1000*C$2*$D$75)/1000000</f>
        <v>15087723.395584475</v>
      </c>
      <c r="M5">
        <f t="shared" si="0"/>
        <v>2697950.6931105903</v>
      </c>
      <c r="N5">
        <f t="shared" si="1"/>
        <v>132828.02790037706</v>
      </c>
      <c r="O5">
        <f t="shared" si="2"/>
        <v>6266.2240236064117</v>
      </c>
      <c r="P5" s="1" t="s">
        <v>8</v>
      </c>
      <c r="Q5" s="1" t="s">
        <v>8</v>
      </c>
      <c r="R5">
        <f t="shared" ref="R5:R35" si="4">SUM(L5:Q5)</f>
        <v>17924768.340619046</v>
      </c>
      <c r="S5" s="6">
        <f>1-R5/$R$4</f>
        <v>-1.6120902550794014E-2</v>
      </c>
      <c r="U5" s="5">
        <v>0.85</v>
      </c>
      <c r="V5" s="5">
        <v>0.02</v>
      </c>
      <c r="W5" t="s">
        <v>29</v>
      </c>
      <c r="X5" s="5">
        <v>0.95</v>
      </c>
      <c r="Y5" t="s">
        <v>29</v>
      </c>
      <c r="Z5" t="s">
        <v>29</v>
      </c>
    </row>
    <row r="6" spans="1:26" x14ac:dyDescent="0.2">
      <c r="A6" s="2">
        <v>2021</v>
      </c>
      <c r="B6" s="1">
        <v>10.6</v>
      </c>
      <c r="C6" s="4">
        <v>204568676</v>
      </c>
      <c r="D6" s="4">
        <v>52515022</v>
      </c>
      <c r="E6" s="4">
        <v>13830180</v>
      </c>
      <c r="F6" s="4">
        <v>163472</v>
      </c>
      <c r="G6" s="1" t="s">
        <v>8</v>
      </c>
      <c r="H6" s="1" t="s">
        <v>8</v>
      </c>
      <c r="J6" s="4">
        <v>276944127</v>
      </c>
      <c r="L6">
        <f t="shared" si="3"/>
        <v>15524767.906475967</v>
      </c>
      <c r="M6">
        <f t="shared" si="0"/>
        <v>2711914.8670032788</v>
      </c>
      <c r="N6">
        <f t="shared" si="1"/>
        <v>149366.21691858303</v>
      </c>
      <c r="O6">
        <f t="shared" si="2"/>
        <v>5816.1511542396029</v>
      </c>
      <c r="P6" s="1" t="s">
        <v>8</v>
      </c>
      <c r="Q6" s="1" t="s">
        <v>8</v>
      </c>
      <c r="R6">
        <f t="shared" si="4"/>
        <v>18391865.141552068</v>
      </c>
      <c r="S6" s="6">
        <f t="shared" ref="S6:S35" si="5">1-R6/$R$4</f>
        <v>-4.2599728604411968E-2</v>
      </c>
      <c r="U6" s="5">
        <v>0.85</v>
      </c>
      <c r="V6" s="5">
        <v>0.02</v>
      </c>
      <c r="W6" t="s">
        <v>29</v>
      </c>
      <c r="X6" s="5">
        <v>0.95</v>
      </c>
      <c r="Y6" t="s">
        <v>29</v>
      </c>
      <c r="Z6" t="s">
        <v>29</v>
      </c>
    </row>
    <row r="7" spans="1:26" x14ac:dyDescent="0.2">
      <c r="A7" s="2">
        <v>2022</v>
      </c>
      <c r="B7" s="1">
        <v>10.7</v>
      </c>
      <c r="C7" s="4">
        <v>207509604</v>
      </c>
      <c r="D7" s="4">
        <v>53007269</v>
      </c>
      <c r="E7" s="4">
        <v>14075107</v>
      </c>
      <c r="F7" s="4">
        <v>234457</v>
      </c>
      <c r="G7" s="1" t="s">
        <v>8</v>
      </c>
      <c r="H7" s="1" t="s">
        <v>8</v>
      </c>
      <c r="J7" s="4">
        <v>280735505</v>
      </c>
      <c r="L7">
        <f t="shared" si="3"/>
        <v>15747955.666803733</v>
      </c>
      <c r="M7">
        <f t="shared" si="0"/>
        <v>2737334.8688750817</v>
      </c>
      <c r="N7">
        <f t="shared" si="1"/>
        <v>152011.43335186286</v>
      </c>
      <c r="O7">
        <f t="shared" si="2"/>
        <v>8341.7181607220482</v>
      </c>
      <c r="P7" s="1" t="s">
        <v>8</v>
      </c>
      <c r="Q7" s="1" t="s">
        <v>8</v>
      </c>
      <c r="R7">
        <f t="shared" si="4"/>
        <v>18645643.687191401</v>
      </c>
      <c r="S7" s="6">
        <f t="shared" si="5"/>
        <v>-5.6985949945901337E-2</v>
      </c>
      <c r="U7" s="5">
        <v>0.85</v>
      </c>
      <c r="V7" s="5">
        <v>0.02</v>
      </c>
      <c r="W7" t="s">
        <v>29</v>
      </c>
      <c r="X7" s="5">
        <v>0.95</v>
      </c>
      <c r="Y7" t="s">
        <v>29</v>
      </c>
      <c r="Z7" t="s">
        <v>29</v>
      </c>
    </row>
    <row r="8" spans="1:26" x14ac:dyDescent="0.2">
      <c r="A8" s="2">
        <v>2023</v>
      </c>
      <c r="B8" s="1">
        <v>10.3</v>
      </c>
      <c r="C8" s="4">
        <v>209125640</v>
      </c>
      <c r="D8" s="4">
        <v>52258070</v>
      </c>
      <c r="E8" s="4">
        <v>15336227</v>
      </c>
      <c r="F8" s="4">
        <v>322982</v>
      </c>
      <c r="G8" s="1" t="s">
        <v>8</v>
      </c>
      <c r="H8" s="1" t="s">
        <v>8</v>
      </c>
      <c r="J8" s="4">
        <v>283105387</v>
      </c>
      <c r="L8">
        <f t="shared" si="3"/>
        <v>15870597.042399816</v>
      </c>
      <c r="M8">
        <f t="shared" si="0"/>
        <v>2698645.6742586545</v>
      </c>
      <c r="N8">
        <f t="shared" si="1"/>
        <v>165631.55423824058</v>
      </c>
      <c r="O8">
        <f t="shared" si="2"/>
        <v>11491.338774215863</v>
      </c>
      <c r="P8" s="1" t="s">
        <v>8</v>
      </c>
      <c r="Q8" s="1" t="s">
        <v>8</v>
      </c>
      <c r="R8">
        <f t="shared" si="4"/>
        <v>18746365.609670926</v>
      </c>
      <c r="S8" s="6">
        <f t="shared" si="5"/>
        <v>-6.2695683473928066E-2</v>
      </c>
      <c r="U8" s="5">
        <v>0.85</v>
      </c>
      <c r="V8" s="5">
        <v>0.02</v>
      </c>
      <c r="W8" t="s">
        <v>29</v>
      </c>
      <c r="X8" s="5">
        <v>0.95</v>
      </c>
      <c r="Y8" t="s">
        <v>29</v>
      </c>
      <c r="Z8" t="s">
        <v>29</v>
      </c>
    </row>
    <row r="9" spans="1:26" x14ac:dyDescent="0.2">
      <c r="A9" s="2">
        <v>2024</v>
      </c>
      <c r="B9" s="1">
        <v>10.4</v>
      </c>
      <c r="C9" s="4">
        <v>210459229</v>
      </c>
      <c r="D9" s="4">
        <v>52845074</v>
      </c>
      <c r="E9" s="4">
        <v>16283920</v>
      </c>
      <c r="F9" s="4">
        <v>391932</v>
      </c>
      <c r="G9" s="4">
        <v>61875</v>
      </c>
      <c r="H9" s="4">
        <v>9591</v>
      </c>
      <c r="J9" s="4">
        <v>286285448</v>
      </c>
      <c r="L9">
        <f t="shared" si="3"/>
        <v>15971803.444633313</v>
      </c>
      <c r="M9">
        <f t="shared" si="0"/>
        <v>2728958.9982174705</v>
      </c>
      <c r="N9">
        <f t="shared" si="1"/>
        <v>175866.65733959014</v>
      </c>
      <c r="O9">
        <f t="shared" si="2"/>
        <v>13944.502753887127</v>
      </c>
      <c r="P9">
        <f t="shared" ref="P9:P35" si="6">(G9*G$2*1000*$L$75)/1000000</f>
        <v>28.643928850655534</v>
      </c>
      <c r="Q9">
        <f t="shared" ref="Q9:Q35" si="7">H9*1000*H$2*$J$75/1000000</f>
        <v>0</v>
      </c>
      <c r="R9">
        <f t="shared" si="4"/>
        <v>18890602.246873114</v>
      </c>
      <c r="S9" s="6">
        <f t="shared" si="5"/>
        <v>-7.0872183118984022E-2</v>
      </c>
      <c r="U9" s="5">
        <v>0.85</v>
      </c>
      <c r="V9" s="5">
        <v>0.02</v>
      </c>
      <c r="W9" t="s">
        <v>29</v>
      </c>
      <c r="X9" s="5">
        <v>0.95</v>
      </c>
      <c r="Y9" t="s">
        <v>29</v>
      </c>
      <c r="Z9" t="s">
        <v>29</v>
      </c>
    </row>
    <row r="10" spans="1:26" x14ac:dyDescent="0.2">
      <c r="A10" s="2">
        <v>2025</v>
      </c>
      <c r="B10" s="1">
        <v>10.6</v>
      </c>
      <c r="C10" s="4">
        <v>213046760</v>
      </c>
      <c r="D10" s="4">
        <v>53756306</v>
      </c>
      <c r="E10" s="4">
        <v>17392947</v>
      </c>
      <c r="F10" s="4">
        <v>478428</v>
      </c>
      <c r="G10" s="4">
        <v>78677</v>
      </c>
      <c r="H10" s="4">
        <v>11707</v>
      </c>
      <c r="J10" s="4">
        <v>291222001</v>
      </c>
      <c r="L10">
        <f t="shared" si="3"/>
        <v>16168171.818380876</v>
      </c>
      <c r="M10">
        <f t="shared" si="0"/>
        <v>2776015.697690797</v>
      </c>
      <c r="N10">
        <f t="shared" si="1"/>
        <v>187844.17082463266</v>
      </c>
      <c r="O10">
        <f t="shared" si="2"/>
        <v>17021.933813867479</v>
      </c>
      <c r="P10">
        <f t="shared" si="6"/>
        <v>36.422115396897382</v>
      </c>
      <c r="Q10">
        <f t="shared" si="7"/>
        <v>0</v>
      </c>
      <c r="R10">
        <f t="shared" si="4"/>
        <v>19149090.042825568</v>
      </c>
      <c r="S10" s="6">
        <f t="shared" si="5"/>
        <v>-8.5525362871738286E-2</v>
      </c>
      <c r="U10" s="5">
        <v>0.85</v>
      </c>
      <c r="V10" s="5">
        <v>0.02</v>
      </c>
      <c r="W10" t="s">
        <v>29</v>
      </c>
      <c r="X10" s="5">
        <v>0.95</v>
      </c>
      <c r="Y10" t="s">
        <v>29</v>
      </c>
      <c r="Z10" t="s">
        <v>29</v>
      </c>
    </row>
    <row r="11" spans="1:26" x14ac:dyDescent="0.2">
      <c r="A11" s="2">
        <v>2026</v>
      </c>
      <c r="B11" s="1">
        <v>10.8</v>
      </c>
      <c r="C11" s="4">
        <v>215179126</v>
      </c>
      <c r="D11" s="4">
        <v>54576609</v>
      </c>
      <c r="E11" s="4">
        <v>18541276</v>
      </c>
      <c r="F11" s="4">
        <v>582875</v>
      </c>
      <c r="G11" s="4">
        <v>99847</v>
      </c>
      <c r="H11" s="4">
        <v>14263</v>
      </c>
      <c r="J11" s="4">
        <v>295665950</v>
      </c>
      <c r="L11">
        <f t="shared" si="3"/>
        <v>16329997.60661475</v>
      </c>
      <c r="M11">
        <f t="shared" si="0"/>
        <v>2818376.7558494965</v>
      </c>
      <c r="N11">
        <f t="shared" si="1"/>
        <v>200246.14668524326</v>
      </c>
      <c r="O11">
        <f t="shared" si="2"/>
        <v>20738.04140175326</v>
      </c>
      <c r="P11">
        <f t="shared" si="6"/>
        <v>46.222389720426726</v>
      </c>
      <c r="Q11">
        <f t="shared" si="7"/>
        <v>0</v>
      </c>
      <c r="R11">
        <f t="shared" si="4"/>
        <v>19369404.772940964</v>
      </c>
      <c r="S11" s="6">
        <f t="shared" si="5"/>
        <v>-9.8014584386684867E-2</v>
      </c>
      <c r="U11" s="5">
        <v>0.85</v>
      </c>
      <c r="V11" s="5">
        <v>0.02</v>
      </c>
      <c r="W11" t="s">
        <v>29</v>
      </c>
      <c r="X11" s="5">
        <v>0.95</v>
      </c>
      <c r="Y11" t="s">
        <v>29</v>
      </c>
      <c r="Z11" t="s">
        <v>29</v>
      </c>
    </row>
    <row r="12" spans="1:26" x14ac:dyDescent="0.2">
      <c r="A12" s="2">
        <v>2027</v>
      </c>
      <c r="B12" s="1">
        <v>10.9</v>
      </c>
      <c r="C12" s="4">
        <v>217059173</v>
      </c>
      <c r="D12" s="4">
        <v>55358238</v>
      </c>
      <c r="E12" s="4">
        <v>19747159</v>
      </c>
      <c r="F12" s="4">
        <v>709467</v>
      </c>
      <c r="G12" s="4">
        <v>126596</v>
      </c>
      <c r="H12" s="4">
        <v>17361</v>
      </c>
      <c r="J12" s="4">
        <v>299900385</v>
      </c>
      <c r="L12">
        <f t="shared" si="3"/>
        <v>16472674.842929592</v>
      </c>
      <c r="M12">
        <f t="shared" si="0"/>
        <v>2858740.6598307407</v>
      </c>
      <c r="N12">
        <f t="shared" si="1"/>
        <v>213269.70688159874</v>
      </c>
      <c r="O12">
        <f t="shared" si="2"/>
        <v>25242.043352653109</v>
      </c>
      <c r="P12">
        <f t="shared" si="6"/>
        <v>58.605362695395357</v>
      </c>
      <c r="Q12">
        <f t="shared" si="7"/>
        <v>0</v>
      </c>
      <c r="R12">
        <f t="shared" si="4"/>
        <v>19569985.858357277</v>
      </c>
      <c r="S12" s="6">
        <f t="shared" si="5"/>
        <v>-0.10938514325109039</v>
      </c>
      <c r="U12" s="5">
        <v>0.85</v>
      </c>
      <c r="V12" s="5">
        <v>0.02</v>
      </c>
      <c r="W12" t="s">
        <v>29</v>
      </c>
      <c r="X12" s="5">
        <v>0.95</v>
      </c>
      <c r="Y12" t="s">
        <v>29</v>
      </c>
      <c r="Z12" t="s">
        <v>29</v>
      </c>
    </row>
    <row r="13" spans="1:26" x14ac:dyDescent="0.2">
      <c r="A13" s="2">
        <v>2028</v>
      </c>
      <c r="B13" s="1">
        <v>11.1</v>
      </c>
      <c r="C13" s="4">
        <v>218155498</v>
      </c>
      <c r="D13" s="4">
        <v>55966377</v>
      </c>
      <c r="E13" s="4">
        <v>20962296</v>
      </c>
      <c r="F13" s="4">
        <v>860713</v>
      </c>
      <c r="G13" s="4">
        <v>159983</v>
      </c>
      <c r="H13" s="4">
        <v>21062</v>
      </c>
      <c r="J13" s="4">
        <v>303194945</v>
      </c>
      <c r="L13">
        <f t="shared" si="3"/>
        <v>16555875.220953582</v>
      </c>
      <c r="M13">
        <f t="shared" si="0"/>
        <v>2890145.4109380431</v>
      </c>
      <c r="N13">
        <f t="shared" si="1"/>
        <v>226393.21046056855</v>
      </c>
      <c r="O13">
        <f t="shared" si="2"/>
        <v>30623.207083898353</v>
      </c>
      <c r="P13">
        <f t="shared" si="6"/>
        <v>74.061279504071521</v>
      </c>
      <c r="Q13">
        <f t="shared" si="7"/>
        <v>0</v>
      </c>
      <c r="R13">
        <f t="shared" si="4"/>
        <v>19703111.110715598</v>
      </c>
      <c r="S13" s="6">
        <f t="shared" si="5"/>
        <v>-0.11693175969868497</v>
      </c>
      <c r="U13" s="5">
        <v>0.85</v>
      </c>
      <c r="V13" s="5">
        <v>0.02</v>
      </c>
      <c r="W13" t="s">
        <v>29</v>
      </c>
      <c r="X13" s="5">
        <v>0.95</v>
      </c>
      <c r="Y13" t="s">
        <v>29</v>
      </c>
      <c r="Z13" t="s">
        <v>29</v>
      </c>
    </row>
    <row r="14" spans="1:26" x14ac:dyDescent="0.2">
      <c r="A14" s="2">
        <v>2029</v>
      </c>
      <c r="B14" s="1">
        <v>11.2</v>
      </c>
      <c r="C14" s="4">
        <v>219533167</v>
      </c>
      <c r="D14" s="4">
        <v>56675146</v>
      </c>
      <c r="E14" s="4">
        <v>22289155</v>
      </c>
      <c r="F14" s="4">
        <v>1045936</v>
      </c>
      <c r="G14" s="4">
        <v>202512</v>
      </c>
      <c r="H14" s="4">
        <v>25594</v>
      </c>
      <c r="J14" s="4">
        <v>307034667</v>
      </c>
      <c r="L14">
        <f t="shared" si="3"/>
        <v>16660426.865394723</v>
      </c>
      <c r="M14">
        <f t="shared" si="0"/>
        <v>2926746.7702285526</v>
      </c>
      <c r="N14">
        <f t="shared" si="1"/>
        <v>240723.31384421026</v>
      </c>
      <c r="O14">
        <f t="shared" si="2"/>
        <v>37213.234521268198</v>
      </c>
      <c r="P14">
        <f t="shared" si="6"/>
        <v>93.749322333801274</v>
      </c>
      <c r="Q14">
        <f t="shared" si="7"/>
        <v>0</v>
      </c>
      <c r="R14">
        <f t="shared" si="4"/>
        <v>19865203.93331109</v>
      </c>
      <c r="S14" s="6">
        <f t="shared" si="5"/>
        <v>-0.12612049240991907</v>
      </c>
      <c r="U14" s="5">
        <v>0.85</v>
      </c>
      <c r="V14" s="5">
        <v>0.02</v>
      </c>
      <c r="W14" t="s">
        <v>29</v>
      </c>
      <c r="X14" s="5">
        <v>0.95</v>
      </c>
      <c r="Y14" t="s">
        <v>29</v>
      </c>
      <c r="Z14" t="s">
        <v>29</v>
      </c>
    </row>
    <row r="15" spans="1:26" x14ac:dyDescent="0.2">
      <c r="A15" s="2">
        <v>2030</v>
      </c>
      <c r="B15" s="1">
        <v>11.3</v>
      </c>
      <c r="C15" s="4">
        <v>220657217</v>
      </c>
      <c r="D15" s="4">
        <v>57350123</v>
      </c>
      <c r="E15" s="4">
        <v>23682340</v>
      </c>
      <c r="F15" s="4">
        <v>1270071</v>
      </c>
      <c r="G15" s="4">
        <v>256155</v>
      </c>
      <c r="H15" s="4">
        <v>31079</v>
      </c>
      <c r="J15" s="4">
        <v>310691318</v>
      </c>
      <c r="L15">
        <f t="shared" si="3"/>
        <v>16745731.300592193</v>
      </c>
      <c r="M15">
        <f t="shared" si="0"/>
        <v>2961603.0854593697</v>
      </c>
      <c r="N15">
        <f t="shared" si="1"/>
        <v>255769.7393366996</v>
      </c>
      <c r="O15">
        <f t="shared" si="2"/>
        <v>45187.707452140108</v>
      </c>
      <c r="P15">
        <f t="shared" si="6"/>
        <v>118.58239345033806</v>
      </c>
      <c r="Q15">
        <f t="shared" si="7"/>
        <v>0</v>
      </c>
      <c r="R15">
        <f t="shared" si="4"/>
        <v>20008410.41523385</v>
      </c>
      <c r="S15" s="6">
        <f t="shared" si="5"/>
        <v>-0.13423859451853759</v>
      </c>
      <c r="U15" s="5">
        <v>0.85</v>
      </c>
      <c r="V15" s="5">
        <v>0.02</v>
      </c>
      <c r="W15" t="s">
        <v>29</v>
      </c>
      <c r="X15" s="5">
        <v>0.95</v>
      </c>
      <c r="Y15" t="s">
        <v>29</v>
      </c>
      <c r="Z15" t="s">
        <v>29</v>
      </c>
    </row>
    <row r="16" spans="1:26" x14ac:dyDescent="0.2">
      <c r="A16" s="2">
        <v>2031</v>
      </c>
      <c r="B16" s="1">
        <v>11.4</v>
      </c>
      <c r="C16" s="4">
        <v>221157572</v>
      </c>
      <c r="D16" s="4">
        <v>57896780</v>
      </c>
      <c r="E16" s="4">
        <v>25103482</v>
      </c>
      <c r="F16" s="4">
        <v>1538612</v>
      </c>
      <c r="G16" s="4">
        <v>323245</v>
      </c>
      <c r="H16" s="4">
        <v>37650</v>
      </c>
      <c r="J16" s="4">
        <v>313652805</v>
      </c>
      <c r="L16">
        <f t="shared" si="3"/>
        <v>16783703.366490714</v>
      </c>
      <c r="M16">
        <f t="shared" si="0"/>
        <v>2989832.8602741151</v>
      </c>
      <c r="N16">
        <f t="shared" si="1"/>
        <v>271118.10098087986</v>
      </c>
      <c r="O16">
        <f t="shared" si="2"/>
        <v>54742.096259462807</v>
      </c>
      <c r="P16">
        <f t="shared" si="6"/>
        <v>149.64051363765896</v>
      </c>
      <c r="Q16">
        <f t="shared" si="7"/>
        <v>0</v>
      </c>
      <c r="R16">
        <f t="shared" si="4"/>
        <v>20099546.064518809</v>
      </c>
      <c r="S16" s="6">
        <f t="shared" si="5"/>
        <v>-0.13940490051737919</v>
      </c>
      <c r="U16" s="5">
        <v>0.85</v>
      </c>
      <c r="V16" s="5">
        <v>0.02</v>
      </c>
      <c r="W16" t="s">
        <v>29</v>
      </c>
      <c r="X16" s="5">
        <v>0.95</v>
      </c>
      <c r="Y16" t="s">
        <v>29</v>
      </c>
      <c r="Z16" t="s">
        <v>29</v>
      </c>
    </row>
    <row r="17" spans="1:26" x14ac:dyDescent="0.2">
      <c r="A17" s="2">
        <v>2032</v>
      </c>
      <c r="B17" s="1">
        <v>11.5</v>
      </c>
      <c r="C17" s="4">
        <v>221301677</v>
      </c>
      <c r="D17" s="4">
        <v>58386191</v>
      </c>
      <c r="E17" s="4">
        <v>26581470</v>
      </c>
      <c r="F17" s="4">
        <v>1861942</v>
      </c>
      <c r="G17" s="4">
        <v>407472</v>
      </c>
      <c r="H17" s="4">
        <v>45562</v>
      </c>
      <c r="J17" s="4">
        <v>316304164</v>
      </c>
      <c r="L17">
        <f t="shared" si="3"/>
        <v>16794639.530926574</v>
      </c>
      <c r="M17">
        <f t="shared" si="0"/>
        <v>3015106.4089927077</v>
      </c>
      <c r="N17">
        <f t="shared" si="1"/>
        <v>287080.40054683364</v>
      </c>
      <c r="O17">
        <f t="shared" si="2"/>
        <v>66245.816484946641</v>
      </c>
      <c r="P17">
        <f t="shared" si="6"/>
        <v>188.63190265267573</v>
      </c>
      <c r="Q17">
        <f t="shared" si="7"/>
        <v>0</v>
      </c>
      <c r="R17">
        <f t="shared" si="4"/>
        <v>20163260.788853716</v>
      </c>
      <c r="S17" s="6">
        <f t="shared" si="5"/>
        <v>-0.14301676662168172</v>
      </c>
      <c r="U17" s="5">
        <v>0.85</v>
      </c>
      <c r="V17" s="5">
        <v>0.02</v>
      </c>
      <c r="W17" t="s">
        <v>29</v>
      </c>
      <c r="X17" s="5">
        <v>0.95</v>
      </c>
      <c r="Y17" t="s">
        <v>29</v>
      </c>
      <c r="Z17" t="s">
        <v>29</v>
      </c>
    </row>
    <row r="18" spans="1:26" x14ac:dyDescent="0.2">
      <c r="A18" s="2">
        <v>2033</v>
      </c>
      <c r="B18" s="1">
        <v>11.6</v>
      </c>
      <c r="C18" s="4">
        <v>221460011</v>
      </c>
      <c r="D18" s="4">
        <v>58919344</v>
      </c>
      <c r="E18" s="4">
        <v>28165409</v>
      </c>
      <c r="F18" s="4">
        <v>2254733</v>
      </c>
      <c r="G18" s="4">
        <v>513991</v>
      </c>
      <c r="H18" s="4">
        <v>55173</v>
      </c>
      <c r="J18" s="4">
        <v>319192495</v>
      </c>
      <c r="L18">
        <f t="shared" si="3"/>
        <v>16806655.537725698</v>
      </c>
      <c r="M18">
        <f t="shared" si="0"/>
        <v>3042638.8271851134</v>
      </c>
      <c r="N18">
        <f t="shared" si="1"/>
        <v>304186.97300357703</v>
      </c>
      <c r="O18">
        <f t="shared" si="2"/>
        <v>80220.881499291165</v>
      </c>
      <c r="P18">
        <f t="shared" si="6"/>
        <v>237.94297590104713</v>
      </c>
      <c r="Q18">
        <f t="shared" si="7"/>
        <v>0</v>
      </c>
      <c r="R18">
        <f t="shared" si="4"/>
        <v>20233940.16238958</v>
      </c>
      <c r="S18" s="6">
        <f t="shared" si="5"/>
        <v>-0.1470234453951107</v>
      </c>
      <c r="U18" s="5">
        <v>0.85</v>
      </c>
      <c r="V18" s="5">
        <v>0.02</v>
      </c>
      <c r="W18" t="s">
        <v>29</v>
      </c>
      <c r="X18" s="5">
        <v>0.95</v>
      </c>
      <c r="Y18" t="s">
        <v>29</v>
      </c>
      <c r="Z18" t="s">
        <v>29</v>
      </c>
    </row>
    <row r="19" spans="1:26" x14ac:dyDescent="0.2">
      <c r="A19" s="2">
        <v>2034</v>
      </c>
      <c r="B19" s="1">
        <v>11.8</v>
      </c>
      <c r="C19" s="4">
        <v>221772830</v>
      </c>
      <c r="D19" s="4">
        <v>59539501</v>
      </c>
      <c r="E19" s="4">
        <v>29884958</v>
      </c>
      <c r="F19" s="4">
        <v>2734159</v>
      </c>
      <c r="G19" s="4">
        <v>649252</v>
      </c>
      <c r="H19" s="4">
        <v>66905</v>
      </c>
      <c r="J19" s="4">
        <v>322552160</v>
      </c>
      <c r="L19">
        <f t="shared" si="3"/>
        <v>16830395.449752778</v>
      </c>
      <c r="M19">
        <f t="shared" si="0"/>
        <v>3074664.1967674806</v>
      </c>
      <c r="N19">
        <f t="shared" si="1"/>
        <v>322758.13613638753</v>
      </c>
      <c r="O19">
        <f t="shared" si="2"/>
        <v>97278.323038346614</v>
      </c>
      <c r="P19">
        <f t="shared" si="6"/>
        <v>300.55964596599284</v>
      </c>
      <c r="Q19">
        <f t="shared" si="7"/>
        <v>0</v>
      </c>
      <c r="R19">
        <f t="shared" si="4"/>
        <v>20325396.665340956</v>
      </c>
      <c r="S19" s="6">
        <f t="shared" si="5"/>
        <v>-0.15220793997585802</v>
      </c>
      <c r="U19" s="5">
        <v>0.85</v>
      </c>
      <c r="V19" s="5">
        <v>0.02</v>
      </c>
      <c r="W19" t="s">
        <v>29</v>
      </c>
      <c r="X19" s="5">
        <v>0.95</v>
      </c>
      <c r="Y19" t="s">
        <v>29</v>
      </c>
      <c r="Z19" t="s">
        <v>29</v>
      </c>
    </row>
    <row r="20" spans="1:26" x14ac:dyDescent="0.2">
      <c r="A20" s="2">
        <v>2035</v>
      </c>
      <c r="B20" s="1">
        <v>11.8</v>
      </c>
      <c r="C20" s="4">
        <v>221353926</v>
      </c>
      <c r="D20" s="4">
        <v>60014241</v>
      </c>
      <c r="E20" s="4">
        <v>31629409</v>
      </c>
      <c r="F20" s="4">
        <v>3307151</v>
      </c>
      <c r="G20" s="4">
        <v>818036</v>
      </c>
      <c r="H20" s="4">
        <v>80926</v>
      </c>
      <c r="J20" s="4">
        <v>325124040</v>
      </c>
      <c r="L20">
        <f t="shared" si="3"/>
        <v>16798604.720584184</v>
      </c>
      <c r="M20">
        <f t="shared" si="0"/>
        <v>3099180.1241141576</v>
      </c>
      <c r="N20">
        <f t="shared" si="1"/>
        <v>341598.2413606029</v>
      </c>
      <c r="O20">
        <f t="shared" si="2"/>
        <v>117664.73833986648</v>
      </c>
      <c r="P20">
        <f t="shared" si="6"/>
        <v>378.69519161656325</v>
      </c>
      <c r="Q20">
        <f t="shared" si="7"/>
        <v>0</v>
      </c>
      <c r="R20">
        <f t="shared" si="4"/>
        <v>20357426.51959043</v>
      </c>
      <c r="S20" s="6">
        <f t="shared" si="5"/>
        <v>-0.15402365127488737</v>
      </c>
      <c r="U20" s="5">
        <v>0.85</v>
      </c>
      <c r="V20" s="5">
        <v>0.02</v>
      </c>
      <c r="W20" t="s">
        <v>29</v>
      </c>
      <c r="X20" s="5">
        <v>0.95</v>
      </c>
      <c r="Y20" t="s">
        <v>29</v>
      </c>
      <c r="Z20" t="s">
        <v>29</v>
      </c>
    </row>
    <row r="21" spans="1:26" x14ac:dyDescent="0.2">
      <c r="A21" s="2">
        <v>2036</v>
      </c>
      <c r="B21" s="1">
        <v>12</v>
      </c>
      <c r="C21" s="4">
        <v>221082116</v>
      </c>
      <c r="D21" s="4">
        <v>60586135</v>
      </c>
      <c r="E21" s="4">
        <v>33527356</v>
      </c>
      <c r="F21" s="4">
        <v>4006400</v>
      </c>
      <c r="G21" s="4">
        <v>1032289</v>
      </c>
      <c r="H21" s="4">
        <v>98036</v>
      </c>
      <c r="J21" s="4">
        <v>328222249</v>
      </c>
      <c r="L21">
        <f t="shared" si="3"/>
        <v>16777976.991807859</v>
      </c>
      <c r="M21">
        <f t="shared" si="0"/>
        <v>3128713.1564139435</v>
      </c>
      <c r="N21">
        <f t="shared" si="1"/>
        <v>362096.10641383968</v>
      </c>
      <c r="O21">
        <f t="shared" si="2"/>
        <v>142543.2366664967</v>
      </c>
      <c r="P21">
        <f t="shared" si="6"/>
        <v>477.8798007161916</v>
      </c>
      <c r="Q21">
        <f t="shared" si="7"/>
        <v>0</v>
      </c>
      <c r="R21">
        <f t="shared" si="4"/>
        <v>20411807.371102855</v>
      </c>
      <c r="S21" s="6">
        <f t="shared" si="5"/>
        <v>-0.157106397945318</v>
      </c>
      <c r="U21" s="5">
        <v>0.85</v>
      </c>
      <c r="V21" s="5">
        <v>0.02</v>
      </c>
      <c r="W21" t="s">
        <v>29</v>
      </c>
      <c r="X21" s="5">
        <v>0.95</v>
      </c>
      <c r="Y21" t="s">
        <v>29</v>
      </c>
      <c r="Z21" t="s">
        <v>29</v>
      </c>
    </row>
    <row r="22" spans="1:26" x14ac:dyDescent="0.2">
      <c r="A22" s="2">
        <v>2037</v>
      </c>
      <c r="B22" s="1">
        <v>12.1</v>
      </c>
      <c r="C22" s="4">
        <v>220496454</v>
      </c>
      <c r="D22" s="4">
        <v>61138068</v>
      </c>
      <c r="E22" s="4">
        <v>35524425</v>
      </c>
      <c r="F22" s="4">
        <v>4851477</v>
      </c>
      <c r="G22" s="4">
        <v>1302116</v>
      </c>
      <c r="H22" s="4">
        <v>118716</v>
      </c>
      <c r="J22" s="4">
        <v>331212313</v>
      </c>
      <c r="L22">
        <f t="shared" si="3"/>
        <v>16733530.956376499</v>
      </c>
      <c r="M22">
        <f t="shared" si="0"/>
        <v>3157215.3878000355</v>
      </c>
      <c r="N22">
        <f t="shared" si="1"/>
        <v>383664.49102310557</v>
      </c>
      <c r="O22">
        <f t="shared" si="2"/>
        <v>172610.13233652787</v>
      </c>
      <c r="P22">
        <f t="shared" si="6"/>
        <v>602.79140297858885</v>
      </c>
      <c r="Q22">
        <f t="shared" si="7"/>
        <v>0</v>
      </c>
      <c r="R22">
        <f t="shared" si="4"/>
        <v>20447623.758939143</v>
      </c>
      <c r="S22" s="6">
        <f t="shared" si="5"/>
        <v>-0.15913676060567372</v>
      </c>
      <c r="U22" s="5">
        <v>0.85</v>
      </c>
      <c r="V22" s="5">
        <v>0.02</v>
      </c>
      <c r="W22" t="s">
        <v>29</v>
      </c>
      <c r="X22" s="5">
        <v>0.95</v>
      </c>
      <c r="Y22" t="s">
        <v>29</v>
      </c>
      <c r="Z22" t="s">
        <v>29</v>
      </c>
    </row>
    <row r="23" spans="1:26" x14ac:dyDescent="0.2">
      <c r="A23" s="2">
        <v>2038</v>
      </c>
      <c r="B23" s="1">
        <v>12.2</v>
      </c>
      <c r="C23" s="4">
        <v>219903498</v>
      </c>
      <c r="D23" s="4">
        <v>61764329</v>
      </c>
      <c r="E23" s="4">
        <v>37682732</v>
      </c>
      <c r="F23" s="4">
        <v>5881407</v>
      </c>
      <c r="G23" s="4">
        <v>1644318</v>
      </c>
      <c r="H23" s="4">
        <v>143918</v>
      </c>
      <c r="J23" s="4">
        <v>334605051</v>
      </c>
      <c r="L23">
        <f t="shared" si="3"/>
        <v>16688531.377463683</v>
      </c>
      <c r="M23">
        <f t="shared" si="0"/>
        <v>3189555.9724907237</v>
      </c>
      <c r="N23">
        <f t="shared" si="1"/>
        <v>406974.24921417009</v>
      </c>
      <c r="O23">
        <f t="shared" si="2"/>
        <v>209253.89125723598</v>
      </c>
      <c r="P23">
        <f t="shared" si="6"/>
        <v>761.20772201781347</v>
      </c>
      <c r="Q23">
        <f t="shared" si="7"/>
        <v>0</v>
      </c>
      <c r="R23">
        <f t="shared" si="4"/>
        <v>20495076.698147833</v>
      </c>
      <c r="S23" s="6">
        <f t="shared" si="5"/>
        <v>-0.16182677715155891</v>
      </c>
      <c r="U23" s="5">
        <v>0.85</v>
      </c>
      <c r="V23" s="5">
        <v>0.02</v>
      </c>
      <c r="W23" t="s">
        <v>29</v>
      </c>
      <c r="X23" s="5">
        <v>0.95</v>
      </c>
      <c r="Y23" t="s">
        <v>29</v>
      </c>
      <c r="Z23" t="s">
        <v>29</v>
      </c>
    </row>
    <row r="24" spans="1:26" x14ac:dyDescent="0.2">
      <c r="A24" s="2">
        <v>2039</v>
      </c>
      <c r="B24" s="1">
        <v>12.3</v>
      </c>
      <c r="C24" s="4">
        <v>218665493</v>
      </c>
      <c r="D24" s="4">
        <v>62297120</v>
      </c>
      <c r="E24" s="4">
        <v>39908180</v>
      </c>
      <c r="F24" s="4">
        <v>7118569</v>
      </c>
      <c r="G24" s="4">
        <v>2073128</v>
      </c>
      <c r="H24" s="4">
        <v>174191</v>
      </c>
      <c r="J24" s="4">
        <v>337491422</v>
      </c>
      <c r="L24">
        <f t="shared" si="3"/>
        <v>16594578.868859399</v>
      </c>
      <c r="M24">
        <f t="shared" si="0"/>
        <v>3217069.69673339</v>
      </c>
      <c r="N24">
        <f t="shared" si="1"/>
        <v>431009.13153016503</v>
      </c>
      <c r="O24">
        <f t="shared" si="2"/>
        <v>253270.7332502463</v>
      </c>
      <c r="P24">
        <f t="shared" si="6"/>
        <v>959.71767160083743</v>
      </c>
      <c r="Q24">
        <f t="shared" si="7"/>
        <v>0</v>
      </c>
      <c r="R24">
        <f t="shared" si="4"/>
        <v>20496888.148044799</v>
      </c>
      <c r="S24" s="6">
        <f t="shared" si="5"/>
        <v>-0.16192946478853432</v>
      </c>
      <c r="U24" s="5">
        <v>0.85</v>
      </c>
      <c r="V24" s="5">
        <v>0.02</v>
      </c>
      <c r="W24" t="s">
        <v>29</v>
      </c>
      <c r="X24" s="5">
        <v>0.95</v>
      </c>
      <c r="Y24" t="s">
        <v>29</v>
      </c>
      <c r="Z24" t="s">
        <v>29</v>
      </c>
    </row>
    <row r="25" spans="1:26" x14ac:dyDescent="0.2">
      <c r="A25" s="2">
        <v>2040</v>
      </c>
      <c r="B25" s="1">
        <v>12.4</v>
      </c>
      <c r="C25" s="4">
        <v>217306110</v>
      </c>
      <c r="D25" s="4">
        <v>62896769</v>
      </c>
      <c r="E25" s="4">
        <v>42306937</v>
      </c>
      <c r="F25" s="4">
        <v>8624508</v>
      </c>
      <c r="G25" s="4">
        <v>2616353</v>
      </c>
      <c r="H25" s="4">
        <v>211041</v>
      </c>
      <c r="J25" s="4">
        <v>340739988</v>
      </c>
      <c r="L25">
        <f t="shared" si="3"/>
        <v>16491414.953524636</v>
      </c>
      <c r="M25">
        <f t="shared" si="0"/>
        <v>3248036.0179144731</v>
      </c>
      <c r="N25">
        <f t="shared" si="1"/>
        <v>456915.75446616218</v>
      </c>
      <c r="O25">
        <f t="shared" si="2"/>
        <v>306850.36066695635</v>
      </c>
      <c r="P25">
        <f t="shared" si="6"/>
        <v>1211.1940069527138</v>
      </c>
      <c r="Q25">
        <f t="shared" si="7"/>
        <v>0</v>
      </c>
      <c r="R25">
        <f t="shared" si="4"/>
        <v>20504428.28057918</v>
      </c>
      <c r="S25" s="6">
        <f t="shared" si="5"/>
        <v>-0.16235690050935347</v>
      </c>
      <c r="U25" s="5">
        <v>0.85</v>
      </c>
      <c r="V25" s="5">
        <v>0.02</v>
      </c>
      <c r="W25" t="s">
        <v>29</v>
      </c>
      <c r="X25" s="5">
        <v>0.95</v>
      </c>
      <c r="Y25" t="s">
        <v>29</v>
      </c>
      <c r="Z25" t="s">
        <v>29</v>
      </c>
    </row>
    <row r="26" spans="1:26" x14ac:dyDescent="0.2">
      <c r="A26" s="2">
        <v>2041</v>
      </c>
      <c r="B26" s="1">
        <v>12.5</v>
      </c>
      <c r="C26" s="4">
        <v>215167593</v>
      </c>
      <c r="D26" s="4">
        <v>63388687</v>
      </c>
      <c r="E26" s="4">
        <v>44769712</v>
      </c>
      <c r="F26" s="4">
        <v>10430353</v>
      </c>
      <c r="G26" s="4">
        <v>3296020</v>
      </c>
      <c r="H26" s="4">
        <v>255230</v>
      </c>
      <c r="J26" s="4">
        <v>343404925</v>
      </c>
      <c r="L26">
        <f t="shared" si="3"/>
        <v>16329122.36436473</v>
      </c>
      <c r="M26">
        <f t="shared" si="0"/>
        <v>3273439.0299811261</v>
      </c>
      <c r="N26">
        <f t="shared" si="1"/>
        <v>483513.77306546189</v>
      </c>
      <c r="O26">
        <f t="shared" si="2"/>
        <v>371100.30855483818</v>
      </c>
      <c r="P26">
        <f t="shared" si="6"/>
        <v>1525.8337352781843</v>
      </c>
      <c r="Q26">
        <f t="shared" si="7"/>
        <v>0</v>
      </c>
      <c r="R26">
        <f t="shared" si="4"/>
        <v>20458701.309701439</v>
      </c>
      <c r="S26" s="6">
        <f t="shared" si="5"/>
        <v>-0.15976472581363299</v>
      </c>
      <c r="U26" s="5">
        <v>0.85</v>
      </c>
      <c r="V26" s="5">
        <v>0.02</v>
      </c>
      <c r="W26" t="s">
        <v>29</v>
      </c>
      <c r="X26" s="5">
        <v>0.95</v>
      </c>
      <c r="Y26" t="s">
        <v>29</v>
      </c>
      <c r="Z26" t="s">
        <v>29</v>
      </c>
    </row>
    <row r="27" spans="1:26" x14ac:dyDescent="0.2">
      <c r="A27" s="2">
        <v>2042</v>
      </c>
      <c r="B27" s="1">
        <v>12.6</v>
      </c>
      <c r="C27" s="4">
        <v>212824675</v>
      </c>
      <c r="D27" s="4">
        <v>63958534</v>
      </c>
      <c r="E27" s="4">
        <v>47430789</v>
      </c>
      <c r="F27" s="4">
        <v>12628942</v>
      </c>
      <c r="G27" s="4">
        <v>4157063</v>
      </c>
      <c r="H27" s="4">
        <v>309030</v>
      </c>
      <c r="J27" s="4">
        <v>346492042</v>
      </c>
      <c r="L27">
        <f t="shared" si="3"/>
        <v>16151317.732271867</v>
      </c>
      <c r="M27">
        <f t="shared" si="0"/>
        <v>3302866.3536756146</v>
      </c>
      <c r="N27">
        <f t="shared" si="1"/>
        <v>512253.45717796462</v>
      </c>
      <c r="O27">
        <f t="shared" si="2"/>
        <v>449323.64924956573</v>
      </c>
      <c r="P27">
        <f t="shared" si="6"/>
        <v>1924.4382513081644</v>
      </c>
      <c r="Q27">
        <f t="shared" si="7"/>
        <v>0</v>
      </c>
      <c r="R27">
        <f t="shared" si="4"/>
        <v>20417685.630626317</v>
      </c>
      <c r="S27" s="6">
        <f t="shared" si="5"/>
        <v>-0.15743962525732047</v>
      </c>
      <c r="U27" s="5">
        <v>0.85</v>
      </c>
      <c r="V27" s="5">
        <v>0.02</v>
      </c>
      <c r="W27" t="s">
        <v>29</v>
      </c>
      <c r="X27" s="5">
        <v>0.95</v>
      </c>
      <c r="Y27" t="s">
        <v>29</v>
      </c>
      <c r="Z27" t="s">
        <v>29</v>
      </c>
    </row>
    <row r="28" spans="1:26" x14ac:dyDescent="0.2">
      <c r="A28" s="2">
        <v>2043</v>
      </c>
      <c r="B28" s="1">
        <v>12.7</v>
      </c>
      <c r="C28" s="4">
        <v>209307092</v>
      </c>
      <c r="D28" s="4">
        <v>64336543</v>
      </c>
      <c r="E28" s="4">
        <v>50096671</v>
      </c>
      <c r="F28" s="4">
        <v>15244299</v>
      </c>
      <c r="G28" s="4">
        <v>5227040</v>
      </c>
      <c r="H28" s="4">
        <v>373028</v>
      </c>
      <c r="J28" s="4">
        <v>348539888</v>
      </c>
      <c r="L28">
        <f t="shared" si="3"/>
        <v>15884367.479991963</v>
      </c>
      <c r="M28">
        <f t="shared" si="0"/>
        <v>3322387.0201043757</v>
      </c>
      <c r="N28">
        <f t="shared" si="1"/>
        <v>541045.03538528702</v>
      </c>
      <c r="O28">
        <f t="shared" si="2"/>
        <v>542375.12983522331</v>
      </c>
      <c r="P28">
        <f t="shared" si="6"/>
        <v>2419.7650401540286</v>
      </c>
      <c r="Q28">
        <f t="shared" si="7"/>
        <v>0</v>
      </c>
      <c r="R28">
        <f t="shared" si="4"/>
        <v>20292594.430357005</v>
      </c>
      <c r="S28" s="6">
        <f t="shared" si="5"/>
        <v>-0.15034844388730639</v>
      </c>
      <c r="U28" s="5">
        <v>0.85</v>
      </c>
      <c r="V28" s="5">
        <v>0.02</v>
      </c>
      <c r="W28" t="s">
        <v>29</v>
      </c>
      <c r="X28" s="5">
        <v>0.95</v>
      </c>
      <c r="Y28" t="s">
        <v>29</v>
      </c>
      <c r="Z28" t="s">
        <v>29</v>
      </c>
    </row>
    <row r="29" spans="1:26" x14ac:dyDescent="0.2">
      <c r="A29" s="2">
        <v>2044</v>
      </c>
      <c r="B29" s="1">
        <v>12.8</v>
      </c>
      <c r="C29" s="4">
        <v>205632808</v>
      </c>
      <c r="D29" s="4">
        <v>64857957</v>
      </c>
      <c r="E29" s="4">
        <v>53027812</v>
      </c>
      <c r="F29" s="4">
        <v>18441415</v>
      </c>
      <c r="G29" s="4">
        <v>6586753</v>
      </c>
      <c r="H29" s="4">
        <v>451261</v>
      </c>
      <c r="J29" s="4">
        <v>351364619</v>
      </c>
      <c r="L29">
        <f t="shared" si="3"/>
        <v>15605525.14969073</v>
      </c>
      <c r="M29">
        <f t="shared" si="0"/>
        <v>3349313.22758961</v>
      </c>
      <c r="N29">
        <f t="shared" si="1"/>
        <v>572701.41602711182</v>
      </c>
      <c r="O29">
        <f t="shared" si="2"/>
        <v>656124.94578925776</v>
      </c>
      <c r="P29">
        <f t="shared" si="6"/>
        <v>3049.2199481024959</v>
      </c>
      <c r="Q29">
        <f t="shared" si="7"/>
        <v>0</v>
      </c>
      <c r="R29">
        <f t="shared" si="4"/>
        <v>20186713.95904481</v>
      </c>
      <c r="S29" s="6">
        <f t="shared" si="5"/>
        <v>-0.14434628207255917</v>
      </c>
      <c r="U29" s="5">
        <v>0.85</v>
      </c>
      <c r="V29" s="5">
        <v>0.02</v>
      </c>
      <c r="W29" t="s">
        <v>29</v>
      </c>
      <c r="X29" s="5">
        <v>0.95</v>
      </c>
      <c r="Y29" t="s">
        <v>29</v>
      </c>
      <c r="Z29" t="s">
        <v>29</v>
      </c>
    </row>
    <row r="30" spans="1:26" x14ac:dyDescent="0.2">
      <c r="A30" s="2">
        <v>2045</v>
      </c>
      <c r="B30" s="1">
        <v>12.9</v>
      </c>
      <c r="C30" s="4">
        <v>201484133</v>
      </c>
      <c r="D30" s="4">
        <v>65466950</v>
      </c>
      <c r="E30" s="4">
        <v>56202011</v>
      </c>
      <c r="F30" s="4">
        <v>22337488</v>
      </c>
      <c r="G30" s="4">
        <v>8310751</v>
      </c>
      <c r="H30" s="4">
        <v>546598</v>
      </c>
      <c r="J30" s="4">
        <v>354663809</v>
      </c>
      <c r="L30">
        <f t="shared" si="3"/>
        <v>15290681.167934699</v>
      </c>
      <c r="M30">
        <f t="shared" si="0"/>
        <v>3380762.0798932603</v>
      </c>
      <c r="N30">
        <f t="shared" si="1"/>
        <v>606982.82786533434</v>
      </c>
      <c r="O30">
        <f t="shared" si="2"/>
        <v>794742.87103609962</v>
      </c>
      <c r="P30">
        <f t="shared" si="6"/>
        <v>3847.3141064972019</v>
      </c>
      <c r="Q30">
        <f t="shared" si="7"/>
        <v>0</v>
      </c>
      <c r="R30">
        <f t="shared" si="4"/>
        <v>20077016.260835893</v>
      </c>
      <c r="S30" s="6">
        <f t="shared" si="5"/>
        <v>-0.13812772895133452</v>
      </c>
      <c r="U30" s="5">
        <v>0.85</v>
      </c>
      <c r="V30" s="5">
        <v>0.02</v>
      </c>
      <c r="W30" t="s">
        <v>29</v>
      </c>
      <c r="X30" s="5">
        <v>0.95</v>
      </c>
      <c r="Y30" t="s">
        <v>29</v>
      </c>
      <c r="Z30" t="s">
        <v>29</v>
      </c>
    </row>
    <row r="31" spans="1:26" x14ac:dyDescent="0.2">
      <c r="A31" s="2">
        <v>2046</v>
      </c>
      <c r="B31" s="1">
        <v>13</v>
      </c>
      <c r="C31" s="4">
        <v>196361489</v>
      </c>
      <c r="D31" s="4">
        <v>66049493</v>
      </c>
      <c r="E31" s="4">
        <v>59537217</v>
      </c>
      <c r="F31" s="4">
        <v>27043504</v>
      </c>
      <c r="G31" s="4">
        <v>10480878</v>
      </c>
      <c r="H31" s="4">
        <v>661754</v>
      </c>
      <c r="J31" s="4">
        <v>357819704</v>
      </c>
      <c r="L31">
        <f t="shared" si="3"/>
        <v>14901922.43554939</v>
      </c>
      <c r="M31">
        <f t="shared" si="0"/>
        <v>3410845.0344880177</v>
      </c>
      <c r="N31">
        <f t="shared" si="1"/>
        <v>643003.11848079716</v>
      </c>
      <c r="O31">
        <f t="shared" si="2"/>
        <v>962177.66347927053</v>
      </c>
      <c r="P31">
        <f t="shared" si="6"/>
        <v>4851.9357369600148</v>
      </c>
      <c r="Q31">
        <f t="shared" si="7"/>
        <v>0</v>
      </c>
      <c r="R31">
        <f t="shared" si="4"/>
        <v>19922800.18773444</v>
      </c>
      <c r="S31" s="6">
        <f t="shared" si="5"/>
        <v>-0.12938551413383026</v>
      </c>
      <c r="U31" s="5">
        <v>0.85</v>
      </c>
      <c r="V31" s="5">
        <v>0.02</v>
      </c>
      <c r="W31" t="s">
        <v>29</v>
      </c>
      <c r="X31" s="5">
        <v>0.95</v>
      </c>
      <c r="Y31" t="s">
        <v>29</v>
      </c>
      <c r="Z31" t="s">
        <v>29</v>
      </c>
    </row>
    <row r="32" spans="1:26" x14ac:dyDescent="0.2">
      <c r="A32" s="2">
        <v>2047</v>
      </c>
      <c r="B32" s="1">
        <v>13.1</v>
      </c>
      <c r="C32" s="4">
        <v>189882965</v>
      </c>
      <c r="D32" s="4">
        <v>66526253</v>
      </c>
      <c r="E32" s="4">
        <v>62965319</v>
      </c>
      <c r="F32" s="4">
        <v>32686452</v>
      </c>
      <c r="G32" s="4">
        <v>13195664</v>
      </c>
      <c r="H32" s="4">
        <v>799837</v>
      </c>
      <c r="J32" s="4">
        <v>360402528</v>
      </c>
      <c r="L32">
        <f t="shared" si="3"/>
        <v>14410265.631374078</v>
      </c>
      <c r="M32">
        <f t="shared" si="0"/>
        <v>3435465.2761398726</v>
      </c>
      <c r="N32">
        <f t="shared" si="1"/>
        <v>680026.68772942782</v>
      </c>
      <c r="O32">
        <f t="shared" si="2"/>
        <v>1162947.449886203</v>
      </c>
      <c r="P32">
        <f t="shared" si="6"/>
        <v>6108.6975475257632</v>
      </c>
      <c r="Q32">
        <f t="shared" si="7"/>
        <v>0</v>
      </c>
      <c r="R32">
        <f t="shared" si="4"/>
        <v>19694813.742677107</v>
      </c>
      <c r="S32" s="6">
        <f t="shared" si="5"/>
        <v>-0.11646139774254416</v>
      </c>
      <c r="U32" s="5">
        <v>0.85</v>
      </c>
      <c r="V32" s="5">
        <v>0.02</v>
      </c>
      <c r="W32" t="s">
        <v>29</v>
      </c>
      <c r="X32" s="5">
        <v>0.95</v>
      </c>
      <c r="Y32" t="s">
        <v>29</v>
      </c>
      <c r="Z32" t="s">
        <v>29</v>
      </c>
    </row>
    <row r="33" spans="1:26" x14ac:dyDescent="0.2">
      <c r="A33" s="2">
        <v>2048</v>
      </c>
      <c r="B33" s="1">
        <v>13.2</v>
      </c>
      <c r="C33" s="4">
        <v>182355034</v>
      </c>
      <c r="D33" s="4">
        <v>67067335</v>
      </c>
      <c r="E33" s="4">
        <v>66651310</v>
      </c>
      <c r="F33" s="4">
        <v>39542763</v>
      </c>
      <c r="G33" s="4">
        <v>16628736</v>
      </c>
      <c r="H33" s="4">
        <v>967610</v>
      </c>
      <c r="J33" s="4">
        <v>363333810</v>
      </c>
      <c r="L33">
        <f t="shared" si="3"/>
        <v>13838969.067911129</v>
      </c>
      <c r="M33">
        <f t="shared" si="0"/>
        <v>3463407.1538004749</v>
      </c>
      <c r="N33">
        <f t="shared" si="1"/>
        <v>719835.46326712472</v>
      </c>
      <c r="O33">
        <f t="shared" si="2"/>
        <v>1406887.336450726</v>
      </c>
      <c r="P33">
        <f t="shared" si="6"/>
        <v>7697.9770644094433</v>
      </c>
      <c r="Q33">
        <f t="shared" si="7"/>
        <v>0</v>
      </c>
      <c r="R33">
        <f t="shared" si="4"/>
        <v>19436796.998493865</v>
      </c>
      <c r="S33" s="6">
        <f t="shared" si="5"/>
        <v>-0.10183492101544567</v>
      </c>
      <c r="U33" s="5">
        <v>0.85</v>
      </c>
      <c r="V33" s="5">
        <v>0.02</v>
      </c>
      <c r="W33" t="s">
        <v>29</v>
      </c>
      <c r="X33" s="5">
        <v>0.95</v>
      </c>
      <c r="Y33" t="s">
        <v>29</v>
      </c>
      <c r="Z33" t="s">
        <v>29</v>
      </c>
    </row>
    <row r="34" spans="1:26" x14ac:dyDescent="0.2">
      <c r="A34" s="2">
        <v>2049</v>
      </c>
      <c r="B34" s="1">
        <v>13.4</v>
      </c>
      <c r="C34" s="4">
        <v>173471489</v>
      </c>
      <c r="D34" s="4">
        <v>67656931</v>
      </c>
      <c r="E34" s="4">
        <v>70599112</v>
      </c>
      <c r="F34" s="4">
        <v>47868465</v>
      </c>
      <c r="G34" s="4">
        <v>20968651</v>
      </c>
      <c r="H34" s="4">
        <v>1171340</v>
      </c>
      <c r="J34" s="4">
        <v>366527919</v>
      </c>
      <c r="L34">
        <f t="shared" si="3"/>
        <v>13164794.61946461</v>
      </c>
      <c r="M34">
        <f t="shared" si="0"/>
        <v>3493854.3305706894</v>
      </c>
      <c r="N34">
        <f t="shared" si="1"/>
        <v>762471.80277128273</v>
      </c>
      <c r="O34">
        <f t="shared" si="2"/>
        <v>1703106.5134177597</v>
      </c>
      <c r="P34">
        <f t="shared" si="6"/>
        <v>9707.0633913248803</v>
      </c>
      <c r="Q34">
        <f t="shared" si="7"/>
        <v>0</v>
      </c>
      <c r="R34">
        <f t="shared" si="4"/>
        <v>19133934.329615664</v>
      </c>
      <c r="S34" s="6">
        <f t="shared" si="5"/>
        <v>-8.4666214418993802E-2</v>
      </c>
      <c r="U34" s="5">
        <v>0.85</v>
      </c>
      <c r="V34" s="5">
        <v>0.02</v>
      </c>
      <c r="W34" t="s">
        <v>29</v>
      </c>
      <c r="X34" s="5">
        <v>0.95</v>
      </c>
      <c r="Y34" t="s">
        <v>29</v>
      </c>
      <c r="Z34" t="s">
        <v>29</v>
      </c>
    </row>
    <row r="35" spans="1:26" x14ac:dyDescent="0.2">
      <c r="A35" s="2">
        <v>2050</v>
      </c>
      <c r="B35" s="1">
        <v>13.5</v>
      </c>
      <c r="C35" s="4">
        <v>162713466</v>
      </c>
      <c r="D35" s="4">
        <v>68210642</v>
      </c>
      <c r="E35" s="4">
        <v>74735746</v>
      </c>
      <c r="F35" s="4">
        <v>57912270</v>
      </c>
      <c r="G35" s="4">
        <v>26425326</v>
      </c>
      <c r="H35" s="4">
        <v>1417112</v>
      </c>
      <c r="J35" s="4">
        <v>369527617</v>
      </c>
      <c r="L35">
        <f t="shared" si="3"/>
        <v>12348365.567503933</v>
      </c>
      <c r="M35">
        <f t="shared" si="0"/>
        <v>3522448.3792016357</v>
      </c>
      <c r="N35">
        <f t="shared" si="1"/>
        <v>807147.53160176694</v>
      </c>
      <c r="O35">
        <f t="shared" si="2"/>
        <v>2060453.8759245346</v>
      </c>
      <c r="P35">
        <f t="shared" si="6"/>
        <v>12233.133863424287</v>
      </c>
      <c r="Q35">
        <f t="shared" si="7"/>
        <v>0</v>
      </c>
      <c r="R35">
        <f t="shared" si="4"/>
        <v>18750648.488095291</v>
      </c>
      <c r="S35" s="6">
        <f t="shared" si="5"/>
        <v>-6.2938471676675434E-2</v>
      </c>
      <c r="U35" s="5">
        <v>0.85</v>
      </c>
      <c r="V35" s="5">
        <v>0.02</v>
      </c>
      <c r="W35" t="s">
        <v>29</v>
      </c>
      <c r="X35" s="5">
        <v>0.95</v>
      </c>
      <c r="Y35" t="s">
        <v>29</v>
      </c>
      <c r="Z35" t="s">
        <v>29</v>
      </c>
    </row>
    <row r="36" spans="1:26" x14ac:dyDescent="0.2">
      <c r="A36" s="1"/>
      <c r="B36" s="1"/>
      <c r="C36" s="1"/>
      <c r="D36" s="1"/>
      <c r="E36" s="1"/>
      <c r="F36" s="1"/>
      <c r="G36" s="1"/>
      <c r="H36" s="1"/>
      <c r="J36" s="1"/>
    </row>
    <row r="37" spans="1:26" ht="22" x14ac:dyDescent="0.3">
      <c r="A37" s="10" t="s">
        <v>42</v>
      </c>
      <c r="B37" s="1"/>
      <c r="C37" s="1"/>
      <c r="D37" s="1"/>
      <c r="E37" s="1"/>
      <c r="F37" s="1"/>
      <c r="G37" s="1"/>
      <c r="H37" s="1"/>
      <c r="J37" s="1"/>
    </row>
    <row r="38" spans="1:26" x14ac:dyDescent="0.2">
      <c r="A38" s="1"/>
      <c r="B38" s="1"/>
      <c r="C38" s="1">
        <v>40.200000000000003</v>
      </c>
      <c r="D38" s="1">
        <v>42.7</v>
      </c>
      <c r="E38" s="1">
        <v>48</v>
      </c>
      <c r="F38" s="1">
        <v>19.899999999999999</v>
      </c>
      <c r="G38" s="1">
        <v>18.600000000000001</v>
      </c>
      <c r="H38" s="1">
        <v>120</v>
      </c>
      <c r="J38" s="1"/>
      <c r="L38" s="13" t="s">
        <v>31</v>
      </c>
      <c r="M38" s="13"/>
      <c r="N38" s="13"/>
      <c r="O38" s="13"/>
      <c r="P38" s="13"/>
      <c r="Q38" s="13"/>
      <c r="R38" s="13"/>
      <c r="S38" s="13"/>
      <c r="U38" s="13" t="s">
        <v>36</v>
      </c>
      <c r="V38" s="13"/>
      <c r="W38" s="13"/>
      <c r="X38" s="13"/>
      <c r="Y38" s="13"/>
      <c r="Z38" s="13"/>
    </row>
    <row r="39" spans="1:26" x14ac:dyDescent="0.2">
      <c r="A39" s="2" t="s">
        <v>0</v>
      </c>
      <c r="B39" s="3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J39" s="1" t="s">
        <v>15</v>
      </c>
      <c r="L39" s="1" t="s">
        <v>9</v>
      </c>
      <c r="M39" s="1" t="s">
        <v>10</v>
      </c>
      <c r="N39" s="1" t="s">
        <v>11</v>
      </c>
      <c r="O39" s="1" t="s">
        <v>12</v>
      </c>
      <c r="P39" s="1" t="s">
        <v>13</v>
      </c>
      <c r="Q39" s="1" t="s">
        <v>14</v>
      </c>
      <c r="R39" s="1" t="s">
        <v>28</v>
      </c>
      <c r="S39" s="1" t="s">
        <v>30</v>
      </c>
      <c r="U39" s="1" t="s">
        <v>9</v>
      </c>
      <c r="V39" s="1" t="s">
        <v>10</v>
      </c>
      <c r="W39" s="1" t="s">
        <v>11</v>
      </c>
      <c r="X39" s="1" t="s">
        <v>12</v>
      </c>
      <c r="Y39" s="1" t="s">
        <v>13</v>
      </c>
      <c r="Z39" s="1" t="s">
        <v>14</v>
      </c>
    </row>
    <row r="40" spans="1:26" x14ac:dyDescent="0.2">
      <c r="A40" s="2">
        <v>2019</v>
      </c>
      <c r="B40" s="1">
        <v>9.9</v>
      </c>
      <c r="C40" s="4">
        <v>196317426</v>
      </c>
      <c r="D40" s="4">
        <v>50567463</v>
      </c>
      <c r="E40" s="4">
        <v>11574174</v>
      </c>
      <c r="F40" s="4">
        <v>153689</v>
      </c>
      <c r="G40" s="1" t="s">
        <v>8</v>
      </c>
      <c r="H40" s="1" t="s">
        <v>8</v>
      </c>
      <c r="J40" s="7">
        <v>263925621</v>
      </c>
      <c r="L40">
        <f>(C40*U40*C$2*1000*$C$76+C40*(1-U40)*1000*C$2*$C$75)/1000000</f>
        <v>14898578.483475989</v>
      </c>
      <c r="M40">
        <f t="shared" ref="M40:M71" si="8">(D40*V40*D$2*1000*$H$76+D40*(1-V40)*1000*D$2*$H$75)/1000000</f>
        <v>2611341.4690436241</v>
      </c>
      <c r="N40">
        <f t="shared" ref="N40:N71" si="9">(E40*E$2*1000*$I$75)/1000000</f>
        <v>125001.30759957022</v>
      </c>
      <c r="O40">
        <f t="shared" ref="O40:O71" si="10">(F40*X40*F$2*1000*$K$76+F40*(1-X40)*1000*F$2*$K$75)/1000000</f>
        <v>5468.0829423016194</v>
      </c>
      <c r="P40" s="1" t="s">
        <v>8</v>
      </c>
      <c r="Q40" s="1" t="s">
        <v>8</v>
      </c>
      <c r="R40">
        <f>SUM(L40:Q40)</f>
        <v>17640389.343061488</v>
      </c>
      <c r="S40" t="s">
        <v>29</v>
      </c>
      <c r="U40" s="5">
        <v>0.85</v>
      </c>
      <c r="V40" s="5">
        <v>0.02</v>
      </c>
      <c r="W40" t="s">
        <v>29</v>
      </c>
      <c r="X40" s="5">
        <v>0.95</v>
      </c>
      <c r="Y40" t="s">
        <v>29</v>
      </c>
      <c r="Z40" t="s">
        <v>29</v>
      </c>
    </row>
    <row r="41" spans="1:26" x14ac:dyDescent="0.2">
      <c r="A41" s="2">
        <v>2020</v>
      </c>
      <c r="B41" s="1">
        <v>10.4</v>
      </c>
      <c r="C41" s="4">
        <v>198809774</v>
      </c>
      <c r="D41" s="4">
        <v>52244612</v>
      </c>
      <c r="E41" s="4">
        <v>12298869</v>
      </c>
      <c r="F41" s="4">
        <v>176122</v>
      </c>
      <c r="G41" s="1" t="s">
        <v>8</v>
      </c>
      <c r="H41" s="1" t="s">
        <v>8</v>
      </c>
      <c r="J41" s="7">
        <v>269075831</v>
      </c>
      <c r="L41">
        <f t="shared" ref="L41:L71" si="11">(C41*U41*C$2*1000*$D$76+C41*(1-U41)*1000*C$2*$D$75)/1000000</f>
        <v>15087723.395584475</v>
      </c>
      <c r="M41">
        <f t="shared" si="8"/>
        <v>2697950.6931105903</v>
      </c>
      <c r="N41">
        <f t="shared" si="9"/>
        <v>132828.02790037706</v>
      </c>
      <c r="O41">
        <f t="shared" si="10"/>
        <v>6266.2240236064117</v>
      </c>
      <c r="P41" s="1" t="s">
        <v>8</v>
      </c>
      <c r="Q41" s="1" t="s">
        <v>8</v>
      </c>
      <c r="R41">
        <f t="shared" ref="R41:R71" si="12">SUM(L41:Q41)</f>
        <v>17924768.340619046</v>
      </c>
      <c r="S41" s="6">
        <f>1-R41/$R$40</f>
        <v>-1.6120902550794014E-2</v>
      </c>
      <c r="U41" s="5">
        <v>0.85</v>
      </c>
      <c r="V41" s="5">
        <v>0.02</v>
      </c>
      <c r="W41" t="s">
        <v>29</v>
      </c>
      <c r="X41" s="5">
        <v>0.95</v>
      </c>
      <c r="Y41" t="s">
        <v>29</v>
      </c>
      <c r="Z41" t="s">
        <v>29</v>
      </c>
    </row>
    <row r="42" spans="1:26" x14ac:dyDescent="0.2">
      <c r="A42" s="2">
        <v>2021</v>
      </c>
      <c r="B42" s="1">
        <v>10.6</v>
      </c>
      <c r="C42" s="4">
        <v>204568676</v>
      </c>
      <c r="D42" s="4">
        <v>52515022</v>
      </c>
      <c r="E42" s="4">
        <v>13830180</v>
      </c>
      <c r="F42" s="4">
        <v>163472</v>
      </c>
      <c r="G42" s="1" t="s">
        <v>8</v>
      </c>
      <c r="H42" s="1" t="s">
        <v>8</v>
      </c>
      <c r="J42" s="4">
        <v>276944127</v>
      </c>
      <c r="L42">
        <f t="shared" si="11"/>
        <v>15524767.906475967</v>
      </c>
      <c r="M42">
        <f t="shared" si="8"/>
        <v>2711914.8670032788</v>
      </c>
      <c r="N42">
        <f t="shared" si="9"/>
        <v>149366.21691858303</v>
      </c>
      <c r="O42">
        <f t="shared" si="10"/>
        <v>5816.1511542396029</v>
      </c>
      <c r="P42" s="1" t="s">
        <v>8</v>
      </c>
      <c r="Q42" s="1" t="s">
        <v>8</v>
      </c>
      <c r="R42">
        <f t="shared" si="12"/>
        <v>18391865.141552068</v>
      </c>
      <c r="S42" s="6">
        <f t="shared" ref="S42:S71" si="13">1-R42/$R$40</f>
        <v>-4.2599728604411968E-2</v>
      </c>
      <c r="U42" s="5">
        <v>0.85</v>
      </c>
      <c r="V42" s="5">
        <v>0.02</v>
      </c>
      <c r="W42" t="s">
        <v>29</v>
      </c>
      <c r="X42" s="5">
        <v>0.95</v>
      </c>
      <c r="Y42" t="s">
        <v>29</v>
      </c>
      <c r="Z42" t="s">
        <v>29</v>
      </c>
    </row>
    <row r="43" spans="1:26" x14ac:dyDescent="0.2">
      <c r="A43" s="2">
        <v>2022</v>
      </c>
      <c r="B43" s="1">
        <v>10.7</v>
      </c>
      <c r="C43" s="4">
        <v>207509604</v>
      </c>
      <c r="D43" s="4">
        <v>53007269</v>
      </c>
      <c r="E43" s="4">
        <v>14075107</v>
      </c>
      <c r="F43" s="4">
        <v>234457</v>
      </c>
      <c r="G43" s="1" t="s">
        <v>8</v>
      </c>
      <c r="H43" s="1" t="s">
        <v>8</v>
      </c>
      <c r="J43" s="4">
        <v>280735505</v>
      </c>
      <c r="L43">
        <f t="shared" si="11"/>
        <v>15747955.666803733</v>
      </c>
      <c r="M43">
        <f t="shared" si="8"/>
        <v>2737334.8688750817</v>
      </c>
      <c r="N43">
        <f t="shared" si="9"/>
        <v>152011.43335186286</v>
      </c>
      <c r="O43">
        <f t="shared" si="10"/>
        <v>8341.7181607220482</v>
      </c>
      <c r="P43" s="1" t="s">
        <v>8</v>
      </c>
      <c r="Q43" s="1" t="s">
        <v>8</v>
      </c>
      <c r="R43">
        <f t="shared" si="12"/>
        <v>18645643.687191401</v>
      </c>
      <c r="S43" s="6">
        <f t="shared" si="13"/>
        <v>-5.6985949945901337E-2</v>
      </c>
      <c r="U43" s="5">
        <v>0.85</v>
      </c>
      <c r="V43" s="5">
        <v>0.02</v>
      </c>
      <c r="W43" t="s">
        <v>29</v>
      </c>
      <c r="X43" s="5">
        <v>0.95</v>
      </c>
      <c r="Y43" t="s">
        <v>29</v>
      </c>
      <c r="Z43" t="s">
        <v>29</v>
      </c>
    </row>
    <row r="44" spans="1:26" x14ac:dyDescent="0.2">
      <c r="A44" s="2">
        <v>2023</v>
      </c>
      <c r="B44" s="1">
        <v>10.3</v>
      </c>
      <c r="C44" s="4">
        <v>209125640</v>
      </c>
      <c r="D44" s="4">
        <v>52258070</v>
      </c>
      <c r="E44" s="4">
        <v>15336227</v>
      </c>
      <c r="F44" s="4">
        <v>322982</v>
      </c>
      <c r="G44" s="1" t="s">
        <v>8</v>
      </c>
      <c r="H44" s="1" t="s">
        <v>8</v>
      </c>
      <c r="J44" s="4">
        <v>283105387</v>
      </c>
      <c r="L44">
        <f t="shared" si="11"/>
        <v>15870597.042399816</v>
      </c>
      <c r="M44">
        <f t="shared" si="8"/>
        <v>2698645.6742586545</v>
      </c>
      <c r="N44">
        <f t="shared" si="9"/>
        <v>165631.55423824058</v>
      </c>
      <c r="O44">
        <f t="shared" si="10"/>
        <v>11491.338774215863</v>
      </c>
      <c r="P44" s="1" t="s">
        <v>8</v>
      </c>
      <c r="Q44" s="1" t="s">
        <v>8</v>
      </c>
      <c r="R44">
        <f t="shared" si="12"/>
        <v>18746365.609670926</v>
      </c>
      <c r="S44" s="6">
        <f t="shared" si="13"/>
        <v>-6.2695683473928066E-2</v>
      </c>
      <c r="U44" s="5">
        <v>0.85</v>
      </c>
      <c r="V44" s="5">
        <v>0.02</v>
      </c>
      <c r="W44" t="s">
        <v>29</v>
      </c>
      <c r="X44" s="5">
        <v>0.95</v>
      </c>
      <c r="Y44" t="s">
        <v>29</v>
      </c>
      <c r="Z44" t="s">
        <v>29</v>
      </c>
    </row>
    <row r="45" spans="1:26" x14ac:dyDescent="0.2">
      <c r="A45" s="2">
        <v>2024</v>
      </c>
      <c r="B45" s="1">
        <v>10.4</v>
      </c>
      <c r="C45" s="4">
        <v>214191682</v>
      </c>
      <c r="D45" s="4">
        <v>50202820</v>
      </c>
      <c r="E45" s="4">
        <v>15508496</v>
      </c>
      <c r="F45" s="4">
        <v>391932</v>
      </c>
      <c r="G45" s="4">
        <v>61875</v>
      </c>
      <c r="H45" s="4">
        <v>9591</v>
      </c>
      <c r="J45" s="4">
        <v>286285448</v>
      </c>
      <c r="L45">
        <f t="shared" si="11"/>
        <v>16255060.234870493</v>
      </c>
      <c r="M45">
        <f t="shared" si="8"/>
        <v>2592511.0328143737</v>
      </c>
      <c r="N45">
        <f t="shared" si="9"/>
        <v>167492.06283771995</v>
      </c>
      <c r="O45">
        <f t="shared" si="10"/>
        <v>13944.502753887127</v>
      </c>
      <c r="P45">
        <f t="shared" ref="P45:P71" si="14">(G45*G$2*1000*$L$75)/1000000</f>
        <v>28.643928850655534</v>
      </c>
      <c r="Q45">
        <f t="shared" ref="Q45:Q71" si="15">H45*1000*H$2*$J$75/1000000</f>
        <v>0</v>
      </c>
      <c r="R45">
        <f t="shared" si="12"/>
        <v>19029036.477205325</v>
      </c>
      <c r="S45" s="6">
        <f t="shared" si="13"/>
        <v>-7.8719755394176527E-2</v>
      </c>
      <c r="U45" s="5">
        <v>0.85</v>
      </c>
      <c r="V45" s="5">
        <v>0.02</v>
      </c>
      <c r="W45" t="s">
        <v>29</v>
      </c>
      <c r="X45" s="5">
        <v>0.95</v>
      </c>
      <c r="Y45" t="s">
        <v>29</v>
      </c>
      <c r="Z45" t="s">
        <v>29</v>
      </c>
    </row>
    <row r="46" spans="1:26" x14ac:dyDescent="0.2">
      <c r="A46" s="2">
        <v>2025</v>
      </c>
      <c r="B46" s="1">
        <v>10.6</v>
      </c>
      <c r="C46" s="4">
        <v>220538033</v>
      </c>
      <c r="D46" s="4">
        <v>48515066</v>
      </c>
      <c r="E46" s="4">
        <v>15775916</v>
      </c>
      <c r="F46" s="4">
        <v>478428</v>
      </c>
      <c r="G46" s="4">
        <v>86859</v>
      </c>
      <c r="H46" s="4">
        <v>12683</v>
      </c>
      <c r="J46" s="4">
        <v>291222001</v>
      </c>
      <c r="L46">
        <f t="shared" si="11"/>
        <v>16736686.397069598</v>
      </c>
      <c r="M46">
        <f t="shared" si="8"/>
        <v>2505354.1586452215</v>
      </c>
      <c r="N46">
        <f t="shared" si="9"/>
        <v>170380.20411486656</v>
      </c>
      <c r="O46">
        <f t="shared" si="10"/>
        <v>17021.933813867479</v>
      </c>
      <c r="P46">
        <f t="shared" si="14"/>
        <v>40.209826521843866</v>
      </c>
      <c r="Q46">
        <f t="shared" si="15"/>
        <v>0</v>
      </c>
      <c r="R46">
        <f t="shared" si="12"/>
        <v>19429482.903470073</v>
      </c>
      <c r="S46" s="6">
        <f t="shared" si="13"/>
        <v>-0.1014202989296431</v>
      </c>
      <c r="U46" s="5">
        <v>0.85</v>
      </c>
      <c r="V46" s="5">
        <v>0.02</v>
      </c>
      <c r="W46" t="s">
        <v>29</v>
      </c>
      <c r="X46" s="5">
        <v>0.95</v>
      </c>
      <c r="Y46" t="s">
        <v>29</v>
      </c>
      <c r="Z46" t="s">
        <v>29</v>
      </c>
    </row>
    <row r="47" spans="1:26" x14ac:dyDescent="0.2">
      <c r="A47" s="2">
        <v>2026</v>
      </c>
      <c r="B47" s="1">
        <v>10.8</v>
      </c>
      <c r="C47" s="4">
        <v>226444170</v>
      </c>
      <c r="D47" s="4">
        <v>46792620</v>
      </c>
      <c r="E47" s="4">
        <v>16016651</v>
      </c>
      <c r="F47" s="4">
        <v>582875</v>
      </c>
      <c r="G47" s="4">
        <v>121695</v>
      </c>
      <c r="H47" s="4">
        <v>16739</v>
      </c>
      <c r="J47" s="4">
        <v>295665950</v>
      </c>
      <c r="L47">
        <f t="shared" si="11"/>
        <v>17184904.608878575</v>
      </c>
      <c r="M47">
        <f t="shared" si="8"/>
        <v>2416405.7637457526</v>
      </c>
      <c r="N47">
        <f t="shared" si="9"/>
        <v>172980.1468654233</v>
      </c>
      <c r="O47">
        <f t="shared" si="10"/>
        <v>20738.04140175326</v>
      </c>
      <c r="P47">
        <f t="shared" si="14"/>
        <v>56.33653206433172</v>
      </c>
      <c r="Q47">
        <f t="shared" si="15"/>
        <v>0</v>
      </c>
      <c r="R47">
        <f t="shared" si="12"/>
        <v>19795084.897423569</v>
      </c>
      <c r="S47" s="6">
        <f t="shared" si="13"/>
        <v>-0.12214557810820592</v>
      </c>
      <c r="U47" s="5">
        <v>0.85</v>
      </c>
      <c r="V47" s="5">
        <v>0.02</v>
      </c>
      <c r="W47" t="s">
        <v>29</v>
      </c>
      <c r="X47" s="5">
        <v>0.95</v>
      </c>
      <c r="Y47" t="s">
        <v>29</v>
      </c>
      <c r="Z47" t="s">
        <v>29</v>
      </c>
    </row>
    <row r="48" spans="1:26" x14ac:dyDescent="0.2">
      <c r="A48" s="2">
        <v>2027</v>
      </c>
      <c r="B48" s="1">
        <v>10.9</v>
      </c>
      <c r="C48" s="4">
        <v>232112513</v>
      </c>
      <c r="D48" s="4">
        <v>45089631</v>
      </c>
      <c r="E48" s="4">
        <v>16246036</v>
      </c>
      <c r="F48" s="4">
        <v>709467</v>
      </c>
      <c r="G48" s="4">
        <v>170344</v>
      </c>
      <c r="H48" s="4">
        <v>22073</v>
      </c>
      <c r="J48" s="4">
        <v>299900385</v>
      </c>
      <c r="L48">
        <f t="shared" si="11"/>
        <v>17615076.574645698</v>
      </c>
      <c r="M48">
        <f t="shared" si="8"/>
        <v>2328462.1428244268</v>
      </c>
      <c r="N48">
        <f t="shared" si="9"/>
        <v>175457.50939200426</v>
      </c>
      <c r="O48">
        <f t="shared" si="10"/>
        <v>25242.043352653109</v>
      </c>
      <c r="P48">
        <f t="shared" si="14"/>
        <v>78.857719856744509</v>
      </c>
      <c r="Q48">
        <f t="shared" si="15"/>
        <v>0</v>
      </c>
      <c r="R48">
        <f t="shared" si="12"/>
        <v>20144317.127934638</v>
      </c>
      <c r="S48" s="6">
        <f t="shared" si="13"/>
        <v>-0.14194288664371357</v>
      </c>
      <c r="U48" s="5">
        <v>0.85</v>
      </c>
      <c r="V48" s="5">
        <v>0.02</v>
      </c>
      <c r="W48" t="s">
        <v>29</v>
      </c>
      <c r="X48" s="5">
        <v>0.95</v>
      </c>
      <c r="Y48" t="s">
        <v>29</v>
      </c>
      <c r="Z48" t="s">
        <v>29</v>
      </c>
    </row>
    <row r="49" spans="1:26" x14ac:dyDescent="0.2">
      <c r="A49" s="2">
        <v>2028</v>
      </c>
      <c r="B49" s="1">
        <v>11.1</v>
      </c>
      <c r="C49" s="4">
        <v>236962105</v>
      </c>
      <c r="D49" s="4">
        <v>43305715</v>
      </c>
      <c r="E49" s="4">
        <v>16424508</v>
      </c>
      <c r="F49" s="4">
        <v>860713</v>
      </c>
      <c r="G49" s="4">
        <v>237657</v>
      </c>
      <c r="H49" s="4">
        <v>29009</v>
      </c>
      <c r="J49" s="4">
        <v>303194945</v>
      </c>
      <c r="L49">
        <f t="shared" si="11"/>
        <v>17983113.322564535</v>
      </c>
      <c r="M49">
        <f t="shared" si="8"/>
        <v>2236339.391321342</v>
      </c>
      <c r="N49">
        <f t="shared" si="9"/>
        <v>177385.0105138908</v>
      </c>
      <c r="O49">
        <f t="shared" si="10"/>
        <v>30623.207083898353</v>
      </c>
      <c r="P49">
        <f t="shared" si="14"/>
        <v>110.01907392097361</v>
      </c>
      <c r="Q49">
        <f t="shared" si="15"/>
        <v>0</v>
      </c>
      <c r="R49">
        <f t="shared" si="12"/>
        <v>20427570.95055759</v>
      </c>
      <c r="S49" s="6">
        <f t="shared" si="13"/>
        <v>-0.15800000517519108</v>
      </c>
      <c r="U49" s="5">
        <v>0.85</v>
      </c>
      <c r="V49" s="5">
        <v>0.02</v>
      </c>
      <c r="W49" t="s">
        <v>29</v>
      </c>
      <c r="X49" s="5">
        <v>0.95</v>
      </c>
      <c r="Y49" t="s">
        <v>29</v>
      </c>
      <c r="Z49" t="s">
        <v>29</v>
      </c>
    </row>
    <row r="50" spans="1:26" x14ac:dyDescent="0.2">
      <c r="A50" s="2">
        <v>2029</v>
      </c>
      <c r="B50" s="1">
        <v>11.2</v>
      </c>
      <c r="C50" s="4">
        <v>242137195</v>
      </c>
      <c r="D50" s="4">
        <v>41661440</v>
      </c>
      <c r="E50" s="4">
        <v>16632511</v>
      </c>
      <c r="F50" s="4">
        <v>1045936</v>
      </c>
      <c r="G50" s="4">
        <v>332121</v>
      </c>
      <c r="H50" s="4">
        <v>38190</v>
      </c>
      <c r="J50" s="4">
        <v>307034667</v>
      </c>
      <c r="L50">
        <f t="shared" si="11"/>
        <v>18375852.194986653</v>
      </c>
      <c r="M50">
        <f t="shared" si="8"/>
        <v>2151427.8051100327</v>
      </c>
      <c r="N50">
        <f t="shared" si="9"/>
        <v>179631.44701852894</v>
      </c>
      <c r="O50">
        <f t="shared" si="10"/>
        <v>37213.234521268198</v>
      </c>
      <c r="P50">
        <f t="shared" si="14"/>
        <v>153.74949969791624</v>
      </c>
      <c r="Q50">
        <f t="shared" si="15"/>
        <v>0</v>
      </c>
      <c r="R50">
        <f t="shared" si="12"/>
        <v>20744278.431136183</v>
      </c>
      <c r="S50" s="6">
        <f t="shared" si="13"/>
        <v>-0.17595354772005356</v>
      </c>
      <c r="U50" s="5">
        <v>0.85</v>
      </c>
      <c r="V50" s="5">
        <v>0.02</v>
      </c>
      <c r="W50" t="s">
        <v>29</v>
      </c>
      <c r="X50" s="5">
        <v>0.95</v>
      </c>
      <c r="Y50" t="s">
        <v>29</v>
      </c>
      <c r="Z50" t="s">
        <v>29</v>
      </c>
    </row>
    <row r="51" spans="1:26" x14ac:dyDescent="0.2">
      <c r="A51" s="2">
        <v>2030</v>
      </c>
      <c r="B51" s="1">
        <v>11.3</v>
      </c>
      <c r="C51" s="4">
        <v>247061430</v>
      </c>
      <c r="D51" s="4">
        <v>40049730</v>
      </c>
      <c r="E51" s="4">
        <v>16830597</v>
      </c>
      <c r="F51" s="4">
        <v>1270071</v>
      </c>
      <c r="G51" s="4">
        <v>463785</v>
      </c>
      <c r="H51" s="4">
        <v>50238</v>
      </c>
      <c r="J51" s="4">
        <v>310691318</v>
      </c>
      <c r="L51">
        <f t="shared" si="11"/>
        <v>18749553.618815321</v>
      </c>
      <c r="M51">
        <f t="shared" si="8"/>
        <v>2068197.8997641325</v>
      </c>
      <c r="N51">
        <f t="shared" si="9"/>
        <v>181770.77972746943</v>
      </c>
      <c r="O51">
        <f t="shared" si="10"/>
        <v>45187.707452140108</v>
      </c>
      <c r="P51">
        <f t="shared" si="14"/>
        <v>214.70100269901053</v>
      </c>
      <c r="Q51">
        <f t="shared" si="15"/>
        <v>0</v>
      </c>
      <c r="R51">
        <f t="shared" si="12"/>
        <v>21044924.706761762</v>
      </c>
      <c r="S51" s="6">
        <f t="shared" si="13"/>
        <v>-0.19299661121365119</v>
      </c>
      <c r="U51" s="5">
        <v>0.85</v>
      </c>
      <c r="V51" s="5">
        <v>0.02</v>
      </c>
      <c r="W51" t="s">
        <v>29</v>
      </c>
      <c r="X51" s="5">
        <v>0.95</v>
      </c>
      <c r="Y51" t="s">
        <v>29</v>
      </c>
      <c r="Z51" t="s">
        <v>29</v>
      </c>
    </row>
    <row r="52" spans="1:26" x14ac:dyDescent="0.2">
      <c r="A52" s="2">
        <v>2031</v>
      </c>
      <c r="B52" s="1">
        <v>11.4</v>
      </c>
      <c r="C52" s="4">
        <v>251309015</v>
      </c>
      <c r="D52" s="4">
        <v>38409907</v>
      </c>
      <c r="E52" s="4">
        <v>16991025</v>
      </c>
      <c r="F52" s="4">
        <v>1538612</v>
      </c>
      <c r="G52" s="4">
        <v>646124</v>
      </c>
      <c r="H52" s="4">
        <v>65932</v>
      </c>
      <c r="J52" s="4">
        <v>313652805</v>
      </c>
      <c r="L52">
        <f t="shared" si="11"/>
        <v>19071903.90517113</v>
      </c>
      <c r="M52">
        <f t="shared" si="8"/>
        <v>1983516.2181501763</v>
      </c>
      <c r="N52">
        <f t="shared" si="9"/>
        <v>183503.40529328378</v>
      </c>
      <c r="O52">
        <f t="shared" si="10"/>
        <v>52837.506563564013</v>
      </c>
      <c r="P52">
        <f t="shared" si="14"/>
        <v>299.11159409617704</v>
      </c>
      <c r="Q52">
        <f t="shared" si="15"/>
        <v>0</v>
      </c>
      <c r="R52">
        <f t="shared" si="12"/>
        <v>21292060.146772247</v>
      </c>
      <c r="S52" s="6">
        <f t="shared" si="13"/>
        <v>-0.20700624757735708</v>
      </c>
      <c r="U52" s="5">
        <v>0.85</v>
      </c>
      <c r="V52" s="5">
        <v>0.02</v>
      </c>
      <c r="W52" t="s">
        <v>29</v>
      </c>
      <c r="X52" s="5">
        <v>0.85</v>
      </c>
      <c r="Y52" t="s">
        <v>29</v>
      </c>
      <c r="Z52" t="s">
        <v>29</v>
      </c>
    </row>
    <row r="53" spans="1:26" x14ac:dyDescent="0.2">
      <c r="A53" s="2">
        <v>2032</v>
      </c>
      <c r="B53" s="1">
        <v>11.5</v>
      </c>
      <c r="C53" s="4">
        <v>255162821</v>
      </c>
      <c r="D53" s="4">
        <v>36797862</v>
      </c>
      <c r="E53" s="4">
        <v>17134653</v>
      </c>
      <c r="F53" s="4">
        <v>1861942</v>
      </c>
      <c r="G53" s="4">
        <v>899188</v>
      </c>
      <c r="H53" s="4">
        <v>86436</v>
      </c>
      <c r="J53" s="4">
        <v>316304164</v>
      </c>
      <c r="L53">
        <f t="shared" si="11"/>
        <v>19364370.204882547</v>
      </c>
      <c r="M53">
        <f t="shared" si="8"/>
        <v>1900269.013154655</v>
      </c>
      <c r="N53">
        <f t="shared" si="9"/>
        <v>185054.59052757447</v>
      </c>
      <c r="O53">
        <f t="shared" si="10"/>
        <v>63940.988791180287</v>
      </c>
      <c r="P53">
        <f t="shared" si="14"/>
        <v>416.26306416748685</v>
      </c>
      <c r="Q53">
        <f t="shared" si="15"/>
        <v>0</v>
      </c>
      <c r="R53">
        <f t="shared" si="12"/>
        <v>21514051.060420126</v>
      </c>
      <c r="S53" s="6">
        <f t="shared" si="13"/>
        <v>-0.21959048873727216</v>
      </c>
      <c r="U53" s="5">
        <v>0.85</v>
      </c>
      <c r="V53" s="5">
        <v>0.02</v>
      </c>
      <c r="W53" t="s">
        <v>29</v>
      </c>
      <c r="X53" s="5">
        <v>0.85</v>
      </c>
      <c r="Y53" t="s">
        <v>29</v>
      </c>
      <c r="Z53" t="s">
        <v>29</v>
      </c>
    </row>
    <row r="54" spans="1:26" x14ac:dyDescent="0.2">
      <c r="A54" s="2">
        <v>2033</v>
      </c>
      <c r="B54" s="1">
        <v>11.6</v>
      </c>
      <c r="C54" s="4">
        <v>259041323</v>
      </c>
      <c r="D54" s="4">
        <v>35277188</v>
      </c>
      <c r="E54" s="4">
        <v>17291118</v>
      </c>
      <c r="F54" s="4">
        <v>2254733</v>
      </c>
      <c r="G54" s="4">
        <v>1252211</v>
      </c>
      <c r="H54" s="4">
        <v>113393</v>
      </c>
      <c r="J54" s="4">
        <v>319192495</v>
      </c>
      <c r="L54">
        <f t="shared" si="11"/>
        <v>19658710.690201048</v>
      </c>
      <c r="M54">
        <f t="shared" si="8"/>
        <v>1821740.2746831118</v>
      </c>
      <c r="N54">
        <f t="shared" si="9"/>
        <v>186744.41561518476</v>
      </c>
      <c r="O54">
        <f t="shared" si="10"/>
        <v>77429.832658645828</v>
      </c>
      <c r="P54">
        <f t="shared" si="14"/>
        <v>579.6887723637692</v>
      </c>
      <c r="Q54">
        <f t="shared" si="15"/>
        <v>0</v>
      </c>
      <c r="R54">
        <f t="shared" si="12"/>
        <v>21745204.901930355</v>
      </c>
      <c r="S54" s="6">
        <f t="shared" si="13"/>
        <v>-0.23269415878756772</v>
      </c>
      <c r="U54" s="5">
        <v>0.85</v>
      </c>
      <c r="V54" s="5">
        <v>0.02</v>
      </c>
      <c r="W54" t="s">
        <v>29</v>
      </c>
      <c r="X54" s="5">
        <v>0.85</v>
      </c>
      <c r="Y54" t="s">
        <v>29</v>
      </c>
      <c r="Z54" t="s">
        <v>29</v>
      </c>
    </row>
    <row r="55" spans="1:26" x14ac:dyDescent="0.2">
      <c r="A55" s="2">
        <v>2034</v>
      </c>
      <c r="B55" s="1">
        <v>11.8</v>
      </c>
      <c r="C55" s="4">
        <v>263110462</v>
      </c>
      <c r="D55" s="4">
        <v>33866073</v>
      </c>
      <c r="E55" s="4">
        <v>17473116</v>
      </c>
      <c r="F55" s="4">
        <v>2734159</v>
      </c>
      <c r="G55" s="4">
        <v>1746240</v>
      </c>
      <c r="H55" s="4">
        <v>148963</v>
      </c>
      <c r="J55" s="4">
        <v>322552160</v>
      </c>
      <c r="L55">
        <f t="shared" si="11"/>
        <v>19967518.665055372</v>
      </c>
      <c r="M55">
        <f t="shared" si="8"/>
        <v>1748869.2446081107</v>
      </c>
      <c r="N55">
        <f t="shared" si="9"/>
        <v>188709.99760665183</v>
      </c>
      <c r="O55">
        <f t="shared" si="10"/>
        <v>93893.810855711257</v>
      </c>
      <c r="P55">
        <f t="shared" si="14"/>
        <v>808.39069601888843</v>
      </c>
      <c r="Q55">
        <f t="shared" si="15"/>
        <v>0</v>
      </c>
      <c r="R55">
        <f t="shared" si="12"/>
        <v>21999800.108821865</v>
      </c>
      <c r="S55" s="6">
        <f t="shared" si="13"/>
        <v>-0.24712667509660546</v>
      </c>
      <c r="U55" s="5">
        <v>0.85</v>
      </c>
      <c r="V55" s="5">
        <v>0.02</v>
      </c>
      <c r="W55" t="s">
        <v>29</v>
      </c>
      <c r="X55" s="5">
        <v>0.85</v>
      </c>
      <c r="Y55" t="s">
        <v>29</v>
      </c>
      <c r="Z55" t="s">
        <v>29</v>
      </c>
    </row>
    <row r="56" spans="1:26" x14ac:dyDescent="0.2">
      <c r="A56" s="2">
        <v>2035</v>
      </c>
      <c r="B56" s="1">
        <v>11.8</v>
      </c>
      <c r="C56" s="4">
        <v>266304541</v>
      </c>
      <c r="D56" s="4">
        <v>32429300</v>
      </c>
      <c r="E56" s="4">
        <v>17612438</v>
      </c>
      <c r="F56" s="4">
        <v>3307151</v>
      </c>
      <c r="G56" s="4">
        <v>2429026</v>
      </c>
      <c r="H56" s="4">
        <v>195196</v>
      </c>
      <c r="J56" s="4">
        <v>325124040</v>
      </c>
      <c r="L56">
        <f t="shared" si="11"/>
        <v>20209918.117989942</v>
      </c>
      <c r="M56">
        <f t="shared" si="8"/>
        <v>1674673.2162943669</v>
      </c>
      <c r="N56">
        <f t="shared" si="9"/>
        <v>190214.67795596985</v>
      </c>
      <c r="O56">
        <f t="shared" si="10"/>
        <v>113570.94099694875</v>
      </c>
      <c r="P56">
        <f t="shared" si="14"/>
        <v>1124.4743098245237</v>
      </c>
      <c r="Q56">
        <f t="shared" si="15"/>
        <v>0</v>
      </c>
      <c r="R56">
        <f t="shared" si="12"/>
        <v>22189501.427547053</v>
      </c>
      <c r="S56" s="6">
        <f t="shared" si="13"/>
        <v>-0.25788048075451764</v>
      </c>
      <c r="U56" s="5">
        <v>0.85</v>
      </c>
      <c r="V56" s="5">
        <v>0.02</v>
      </c>
      <c r="W56" t="s">
        <v>29</v>
      </c>
      <c r="X56" s="5">
        <v>0.85</v>
      </c>
      <c r="Y56" t="s">
        <v>29</v>
      </c>
      <c r="Z56" t="s">
        <v>29</v>
      </c>
    </row>
    <row r="57" spans="1:26" x14ac:dyDescent="0.2">
      <c r="A57" s="2">
        <v>2036</v>
      </c>
      <c r="B57" s="1">
        <v>12</v>
      </c>
      <c r="C57" s="4">
        <v>269642799</v>
      </c>
      <c r="D57" s="4">
        <v>31101413</v>
      </c>
      <c r="E57" s="4">
        <v>17780273</v>
      </c>
      <c r="F57" s="4">
        <v>4006400</v>
      </c>
      <c r="G57" s="4">
        <v>3383999</v>
      </c>
      <c r="H57" s="4">
        <v>256173</v>
      </c>
      <c r="J57" s="4">
        <v>328222249</v>
      </c>
      <c r="L57">
        <f t="shared" si="11"/>
        <v>20463259.351238847</v>
      </c>
      <c r="M57">
        <f t="shared" si="8"/>
        <v>1606100.1421556873</v>
      </c>
      <c r="N57">
        <f t="shared" si="9"/>
        <v>192027.29926795061</v>
      </c>
      <c r="O57">
        <f t="shared" si="10"/>
        <v>137583.86539053568</v>
      </c>
      <c r="P57">
        <f t="shared" si="14"/>
        <v>1566.5620458454866</v>
      </c>
      <c r="Q57">
        <f t="shared" si="15"/>
        <v>0</v>
      </c>
      <c r="R57">
        <f t="shared" si="12"/>
        <v>22400537.220098868</v>
      </c>
      <c r="S57" s="6">
        <f t="shared" si="13"/>
        <v>-0.2698436970105591</v>
      </c>
      <c r="U57" s="5">
        <v>0.85</v>
      </c>
      <c r="V57" s="5">
        <v>0.02</v>
      </c>
      <c r="W57" t="s">
        <v>29</v>
      </c>
      <c r="X57" s="5">
        <v>0.85</v>
      </c>
      <c r="Y57" t="s">
        <v>29</v>
      </c>
      <c r="Z57" t="s">
        <v>29</v>
      </c>
    </row>
    <row r="58" spans="1:26" x14ac:dyDescent="0.2">
      <c r="A58" s="2">
        <v>2037</v>
      </c>
      <c r="B58" s="1">
        <v>12.1</v>
      </c>
      <c r="C58" s="4">
        <v>272533875</v>
      </c>
      <c r="D58" s="4">
        <v>29815506</v>
      </c>
      <c r="E58" s="4">
        <v>17942249</v>
      </c>
      <c r="F58" s="4">
        <v>4851477</v>
      </c>
      <c r="G58" s="4">
        <v>4712460</v>
      </c>
      <c r="H58" s="4">
        <v>336058</v>
      </c>
      <c r="J58" s="4">
        <v>331212313</v>
      </c>
      <c r="L58">
        <f t="shared" si="11"/>
        <v>20682663.830837585</v>
      </c>
      <c r="M58">
        <f t="shared" si="8"/>
        <v>1539694.946497889</v>
      </c>
      <c r="N58">
        <f t="shared" si="9"/>
        <v>193776.64326431253</v>
      </c>
      <c r="O58">
        <f t="shared" si="10"/>
        <v>166604.67215287531</v>
      </c>
      <c r="P58">
        <f t="shared" si="14"/>
        <v>2181.5493971969322</v>
      </c>
      <c r="Q58">
        <f t="shared" si="15"/>
        <v>0</v>
      </c>
      <c r="R58">
        <f t="shared" si="12"/>
        <v>22584921.642149858</v>
      </c>
      <c r="S58" s="6">
        <f t="shared" si="13"/>
        <v>-0.28029609794486809</v>
      </c>
      <c r="U58" s="5">
        <v>0.85</v>
      </c>
      <c r="V58" s="5">
        <v>0.02</v>
      </c>
      <c r="W58" t="s">
        <v>29</v>
      </c>
      <c r="X58" s="5">
        <v>0.85</v>
      </c>
      <c r="Y58" t="s">
        <v>29</v>
      </c>
      <c r="Z58" t="s">
        <v>29</v>
      </c>
    </row>
    <row r="59" spans="1:26" x14ac:dyDescent="0.2">
      <c r="A59" s="2">
        <v>2038</v>
      </c>
      <c r="B59" s="1">
        <v>12.2</v>
      </c>
      <c r="C59" s="4">
        <v>275298945</v>
      </c>
      <c r="D59" s="4">
        <v>28614872</v>
      </c>
      <c r="E59" s="4">
        <v>18126038</v>
      </c>
      <c r="F59" s="4">
        <v>5881407</v>
      </c>
      <c r="G59" s="4">
        <v>6569810</v>
      </c>
      <c r="H59" s="4">
        <v>441351</v>
      </c>
      <c r="J59" s="4">
        <v>334605051</v>
      </c>
      <c r="L59">
        <f t="shared" si="11"/>
        <v>20892505.683630142</v>
      </c>
      <c r="M59">
        <f t="shared" si="8"/>
        <v>1477693.3121002188</v>
      </c>
      <c r="N59">
        <f t="shared" si="9"/>
        <v>195761.5680911224</v>
      </c>
      <c r="O59">
        <f t="shared" si="10"/>
        <v>201973.5196173508</v>
      </c>
      <c r="P59">
        <f t="shared" si="14"/>
        <v>3041.3764881183884</v>
      </c>
      <c r="Q59">
        <f t="shared" si="15"/>
        <v>0</v>
      </c>
      <c r="R59">
        <f t="shared" si="12"/>
        <v>22770975.459926955</v>
      </c>
      <c r="S59" s="6">
        <f t="shared" si="13"/>
        <v>-0.29084313373635862</v>
      </c>
      <c r="U59" s="5">
        <v>0.85</v>
      </c>
      <c r="V59" s="5">
        <v>0.02</v>
      </c>
      <c r="W59" t="s">
        <v>29</v>
      </c>
      <c r="X59" s="5">
        <v>0.85</v>
      </c>
      <c r="Y59" t="s">
        <v>29</v>
      </c>
      <c r="Z59" t="s">
        <v>29</v>
      </c>
    </row>
    <row r="60" spans="1:26" x14ac:dyDescent="0.2">
      <c r="A60" s="2">
        <v>2039</v>
      </c>
      <c r="B60" s="1">
        <v>12.3</v>
      </c>
      <c r="C60" s="4">
        <v>277055524</v>
      </c>
      <c r="D60" s="4">
        <v>27418624</v>
      </c>
      <c r="E60" s="4">
        <v>18282397</v>
      </c>
      <c r="F60" s="4">
        <v>7118569</v>
      </c>
      <c r="G60" s="4">
        <v>9144546</v>
      </c>
      <c r="H60" s="4">
        <v>578706</v>
      </c>
      <c r="J60" s="4">
        <v>337491422</v>
      </c>
      <c r="L60">
        <f t="shared" si="11"/>
        <v>21025812.902592584</v>
      </c>
      <c r="M60">
        <f t="shared" si="8"/>
        <v>1415918.1740107222</v>
      </c>
      <c r="N60">
        <f t="shared" si="9"/>
        <v>197450.24837664093</v>
      </c>
      <c r="O60">
        <f t="shared" si="10"/>
        <v>244458.92548653152</v>
      </c>
      <c r="P60">
        <f t="shared" si="14"/>
        <v>4233.3046463926739</v>
      </c>
      <c r="Q60">
        <f t="shared" si="15"/>
        <v>0</v>
      </c>
      <c r="R60">
        <f t="shared" si="12"/>
        <v>22887873.555112872</v>
      </c>
      <c r="S60" s="6">
        <f t="shared" si="13"/>
        <v>-0.29746986361813965</v>
      </c>
      <c r="U60" s="5">
        <v>0.85</v>
      </c>
      <c r="V60" s="5">
        <v>0.02</v>
      </c>
      <c r="W60" t="s">
        <v>29</v>
      </c>
      <c r="X60" s="5">
        <v>0.85</v>
      </c>
      <c r="Y60" t="s">
        <v>29</v>
      </c>
      <c r="Z60" t="s">
        <v>29</v>
      </c>
    </row>
    <row r="61" spans="1:26" x14ac:dyDescent="0.2">
      <c r="A61" s="2">
        <v>2040</v>
      </c>
      <c r="B61" s="1">
        <v>12.4</v>
      </c>
      <c r="C61" s="4">
        <v>278334493</v>
      </c>
      <c r="D61" s="4">
        <v>26298418</v>
      </c>
      <c r="E61" s="4">
        <v>18458377</v>
      </c>
      <c r="F61" s="4">
        <v>8624508</v>
      </c>
      <c r="G61" s="4">
        <v>12740944</v>
      </c>
      <c r="H61" s="4">
        <v>759559</v>
      </c>
      <c r="J61" s="4">
        <v>340739988</v>
      </c>
      <c r="L61">
        <f t="shared" si="11"/>
        <v>21122874.179386389</v>
      </c>
      <c r="M61">
        <f t="shared" si="8"/>
        <v>1358069.9014629878</v>
      </c>
      <c r="N61">
        <f t="shared" si="9"/>
        <v>199350.83584935151</v>
      </c>
      <c r="O61">
        <f t="shared" si="10"/>
        <v>296174.40788029099</v>
      </c>
      <c r="P61">
        <f t="shared" si="14"/>
        <v>5898.1930250696814</v>
      </c>
      <c r="Q61">
        <f t="shared" si="15"/>
        <v>0</v>
      </c>
      <c r="R61">
        <f t="shared" si="12"/>
        <v>22982367.51760409</v>
      </c>
      <c r="S61" s="6">
        <f t="shared" si="13"/>
        <v>-0.30282654598231806</v>
      </c>
      <c r="U61" s="5">
        <v>0.85</v>
      </c>
      <c r="V61" s="5">
        <v>0.02</v>
      </c>
      <c r="W61" t="s">
        <v>29</v>
      </c>
      <c r="X61" s="5">
        <v>0.85</v>
      </c>
      <c r="Y61" t="s">
        <v>29</v>
      </c>
      <c r="Z61" t="s">
        <v>29</v>
      </c>
    </row>
    <row r="62" spans="1:26" x14ac:dyDescent="0.2">
      <c r="A62" s="2">
        <v>2041</v>
      </c>
      <c r="B62" s="1">
        <v>12.5</v>
      </c>
      <c r="C62" s="4">
        <v>278115260</v>
      </c>
      <c r="D62" s="4">
        <v>25178894</v>
      </c>
      <c r="E62" s="4">
        <v>18602740</v>
      </c>
      <c r="F62" s="4">
        <v>10430353</v>
      </c>
      <c r="G62" s="4">
        <v>17720015</v>
      </c>
      <c r="H62" s="4">
        <v>995149</v>
      </c>
      <c r="J62" s="4">
        <v>343404925</v>
      </c>
      <c r="L62">
        <f t="shared" si="11"/>
        <v>21106236.532269578</v>
      </c>
      <c r="M62">
        <f t="shared" si="8"/>
        <v>1300256.8479034372</v>
      </c>
      <c r="N62">
        <f t="shared" si="9"/>
        <v>200909.95909814633</v>
      </c>
      <c r="O62">
        <f t="shared" si="10"/>
        <v>358188.96843245049</v>
      </c>
      <c r="P62">
        <f t="shared" si="14"/>
        <v>8203.1652346270512</v>
      </c>
      <c r="Q62">
        <f t="shared" si="15"/>
        <v>0</v>
      </c>
      <c r="R62">
        <f t="shared" si="12"/>
        <v>22973795.472938236</v>
      </c>
      <c r="S62" s="6">
        <f t="shared" si="13"/>
        <v>-0.30234061313247262</v>
      </c>
      <c r="U62" s="5">
        <v>0.85</v>
      </c>
      <c r="V62" s="5">
        <v>0.02</v>
      </c>
      <c r="W62" t="s">
        <v>29</v>
      </c>
      <c r="X62" s="5">
        <v>0.85</v>
      </c>
      <c r="Y62" t="s">
        <v>29</v>
      </c>
      <c r="Z62" t="s">
        <v>29</v>
      </c>
    </row>
    <row r="63" spans="1:26" x14ac:dyDescent="0.2">
      <c r="A63" s="2">
        <v>2042</v>
      </c>
      <c r="B63" s="1">
        <v>12.6</v>
      </c>
      <c r="C63" s="4">
        <v>276880012</v>
      </c>
      <c r="D63" s="4">
        <v>24134983</v>
      </c>
      <c r="E63" s="4">
        <v>18769974</v>
      </c>
      <c r="F63" s="4">
        <v>12628942</v>
      </c>
      <c r="G63" s="4">
        <v>24673453</v>
      </c>
      <c r="H63" s="4">
        <v>1305324</v>
      </c>
      <c r="J63" s="4">
        <v>346492042</v>
      </c>
      <c r="L63">
        <f t="shared" si="11"/>
        <v>21012493.253083773</v>
      </c>
      <c r="M63">
        <f t="shared" si="8"/>
        <v>1246348.5060059843</v>
      </c>
      <c r="N63">
        <f t="shared" si="9"/>
        <v>202716.08959826728</v>
      </c>
      <c r="O63">
        <f t="shared" si="10"/>
        <v>433690.75882410194</v>
      </c>
      <c r="P63">
        <f t="shared" si="14"/>
        <v>11422.135470416053</v>
      </c>
      <c r="Q63">
        <f t="shared" si="15"/>
        <v>0</v>
      </c>
      <c r="R63">
        <f t="shared" si="12"/>
        <v>22906670.742982544</v>
      </c>
      <c r="S63" s="6">
        <f t="shared" si="13"/>
        <v>-0.29853544031852386</v>
      </c>
      <c r="U63" s="5">
        <v>0.85</v>
      </c>
      <c r="V63" s="5">
        <v>0.02</v>
      </c>
      <c r="W63" t="s">
        <v>29</v>
      </c>
      <c r="X63" s="5">
        <v>0.85</v>
      </c>
      <c r="Y63" t="s">
        <v>29</v>
      </c>
      <c r="Z63" t="s">
        <v>29</v>
      </c>
    </row>
    <row r="64" spans="1:26" x14ac:dyDescent="0.2">
      <c r="A64" s="2">
        <v>2043</v>
      </c>
      <c r="B64" s="1">
        <v>12.7</v>
      </c>
      <c r="C64" s="4">
        <v>273008485</v>
      </c>
      <c r="D64" s="4">
        <v>23063745</v>
      </c>
      <c r="E64" s="4">
        <v>18880908</v>
      </c>
      <c r="F64" s="4">
        <v>15244299</v>
      </c>
      <c r="G64" s="4">
        <v>34250604</v>
      </c>
      <c r="H64" s="4">
        <v>1706951</v>
      </c>
      <c r="J64" s="4">
        <v>348539888</v>
      </c>
      <c r="L64">
        <f t="shared" si="11"/>
        <v>20718682.102257069</v>
      </c>
      <c r="M64">
        <f t="shared" si="8"/>
        <v>1191028.977466153</v>
      </c>
      <c r="N64">
        <f t="shared" si="9"/>
        <v>203914.17898738917</v>
      </c>
      <c r="O64">
        <f t="shared" si="10"/>
        <v>523504.78773689031</v>
      </c>
      <c r="P64">
        <f t="shared" si="14"/>
        <v>15855.706894027928</v>
      </c>
      <c r="Q64">
        <f t="shared" si="15"/>
        <v>0</v>
      </c>
      <c r="R64">
        <f t="shared" si="12"/>
        <v>22652985.75334153</v>
      </c>
      <c r="S64" s="6">
        <f t="shared" si="13"/>
        <v>-0.28415452248799999</v>
      </c>
      <c r="U64" s="5">
        <v>0.85</v>
      </c>
      <c r="V64" s="5">
        <v>0.02</v>
      </c>
      <c r="W64" t="s">
        <v>29</v>
      </c>
      <c r="X64" s="5">
        <v>0.85</v>
      </c>
      <c r="Y64" t="s">
        <v>29</v>
      </c>
      <c r="Z64" t="s">
        <v>29</v>
      </c>
    </row>
    <row r="65" spans="1:26" x14ac:dyDescent="0.2">
      <c r="A65" s="2">
        <v>2044</v>
      </c>
      <c r="B65" s="1">
        <v>12.8</v>
      </c>
      <c r="C65" s="4">
        <v>267322633</v>
      </c>
      <c r="D65" s="4">
        <v>22088131</v>
      </c>
      <c r="E65" s="4">
        <v>19033928</v>
      </c>
      <c r="F65" s="4">
        <v>18441415</v>
      </c>
      <c r="G65" s="4">
        <v>47648898</v>
      </c>
      <c r="H65" s="4">
        <v>2237020</v>
      </c>
      <c r="J65" s="4">
        <v>351364619</v>
      </c>
      <c r="L65">
        <f t="shared" si="11"/>
        <v>20287181.374107607</v>
      </c>
      <c r="M65">
        <f t="shared" si="8"/>
        <v>1140647.5435393706</v>
      </c>
      <c r="N65">
        <f t="shared" si="9"/>
        <v>205566.79800701735</v>
      </c>
      <c r="O65">
        <f t="shared" si="10"/>
        <v>633297.01451951999</v>
      </c>
      <c r="P65">
        <f t="shared" si="14"/>
        <v>22058.208389885138</v>
      </c>
      <c r="Q65">
        <f t="shared" si="15"/>
        <v>0</v>
      </c>
      <c r="R65">
        <f t="shared" si="12"/>
        <v>22288750.938563403</v>
      </c>
      <c r="S65" s="6">
        <f t="shared" si="13"/>
        <v>-0.26350674608722624</v>
      </c>
      <c r="U65" s="5">
        <v>0.85</v>
      </c>
      <c r="V65" s="5">
        <v>0.02</v>
      </c>
      <c r="W65" t="s">
        <v>29</v>
      </c>
      <c r="X65" s="5">
        <v>0.85</v>
      </c>
      <c r="Y65" t="s">
        <v>29</v>
      </c>
      <c r="Z65" t="s">
        <v>29</v>
      </c>
    </row>
    <row r="66" spans="1:26" x14ac:dyDescent="0.2">
      <c r="A66" s="2">
        <v>2045</v>
      </c>
      <c r="B66" s="1">
        <v>12.9</v>
      </c>
      <c r="C66" s="4">
        <v>258695420</v>
      </c>
      <c r="D66" s="4">
        <v>21180754</v>
      </c>
      <c r="E66" s="4">
        <v>19212650</v>
      </c>
      <c r="F66" s="4">
        <v>22337488</v>
      </c>
      <c r="G66" s="4">
        <v>66372901</v>
      </c>
      <c r="H66" s="4">
        <v>2935432</v>
      </c>
      <c r="J66" s="4">
        <v>354663809</v>
      </c>
      <c r="L66">
        <f t="shared" si="11"/>
        <v>19632460.025152247</v>
      </c>
      <c r="M66">
        <f t="shared" si="8"/>
        <v>1093789.9191385496</v>
      </c>
      <c r="N66">
        <f t="shared" si="9"/>
        <v>207496.99913383735</v>
      </c>
      <c r="O66">
        <f t="shared" si="10"/>
        <v>767092.13811768824</v>
      </c>
      <c r="P66">
        <f t="shared" si="14"/>
        <v>30726.15198150471</v>
      </c>
      <c r="Q66">
        <f t="shared" si="15"/>
        <v>0</v>
      </c>
      <c r="R66">
        <f t="shared" si="12"/>
        <v>21731565.233523831</v>
      </c>
      <c r="S66" s="6">
        <f t="shared" si="13"/>
        <v>-0.23192095202091045</v>
      </c>
      <c r="U66" s="5">
        <v>0.85</v>
      </c>
      <c r="V66" s="5">
        <v>0.02</v>
      </c>
      <c r="W66" t="s">
        <v>29</v>
      </c>
      <c r="X66" s="5">
        <v>0.85</v>
      </c>
      <c r="Y66" t="s">
        <v>29</v>
      </c>
      <c r="Z66" t="s">
        <v>29</v>
      </c>
    </row>
    <row r="67" spans="1:26" x14ac:dyDescent="0.2">
      <c r="A67" s="2">
        <v>2046</v>
      </c>
      <c r="B67" s="1">
        <v>13</v>
      </c>
      <c r="C67" s="4">
        <v>245475349</v>
      </c>
      <c r="D67" s="4">
        <v>20300765</v>
      </c>
      <c r="E67" s="4">
        <v>19383610</v>
      </c>
      <c r="F67" s="4">
        <v>27043504</v>
      </c>
      <c r="G67" s="4">
        <v>92409637</v>
      </c>
      <c r="H67" s="4">
        <v>3850018</v>
      </c>
      <c r="J67" s="4">
        <v>357819704</v>
      </c>
      <c r="L67">
        <f t="shared" si="11"/>
        <v>18629185.535649594</v>
      </c>
      <c r="M67">
        <f t="shared" si="8"/>
        <v>1048346.6314655608</v>
      </c>
      <c r="N67">
        <f t="shared" si="9"/>
        <v>209343.37050748547</v>
      </c>
      <c r="O67">
        <f t="shared" si="10"/>
        <v>928701.53105641284</v>
      </c>
      <c r="P67">
        <f t="shared" si="14"/>
        <v>42779.39502776412</v>
      </c>
      <c r="Q67">
        <f t="shared" si="15"/>
        <v>0</v>
      </c>
      <c r="R67">
        <f t="shared" si="12"/>
        <v>20858356.463706817</v>
      </c>
      <c r="S67" s="6">
        <f t="shared" si="13"/>
        <v>-0.18242041363509109</v>
      </c>
      <c r="U67" s="5">
        <v>0.85</v>
      </c>
      <c r="V67" s="5">
        <v>0.02</v>
      </c>
      <c r="W67" t="s">
        <v>29</v>
      </c>
      <c r="X67" s="5">
        <v>0.85</v>
      </c>
      <c r="Y67" t="s">
        <v>29</v>
      </c>
      <c r="Z67" t="s">
        <v>29</v>
      </c>
    </row>
    <row r="68" spans="1:26" x14ac:dyDescent="0.2">
      <c r="A68" s="2">
        <v>2047</v>
      </c>
      <c r="B68" s="1">
        <v>13.1</v>
      </c>
      <c r="C68" s="4">
        <v>225798934</v>
      </c>
      <c r="D68" s="4">
        <v>19424936</v>
      </c>
      <c r="E68" s="4">
        <v>19523525</v>
      </c>
      <c r="F68" s="4">
        <v>32686452</v>
      </c>
      <c r="G68" s="4">
        <v>128445805</v>
      </c>
      <c r="H68" s="4">
        <v>5041151</v>
      </c>
      <c r="J68" s="4">
        <v>360402528</v>
      </c>
      <c r="L68">
        <f t="shared" si="11"/>
        <v>17135937.487710413</v>
      </c>
      <c r="M68">
        <f t="shared" si="8"/>
        <v>1003118.1692923446</v>
      </c>
      <c r="N68">
        <f t="shared" si="9"/>
        <v>210854.45526850547</v>
      </c>
      <c r="O68">
        <f t="shared" si="10"/>
        <v>1122486.1252152068</v>
      </c>
      <c r="P68">
        <f t="shared" si="14"/>
        <v>59461.696962992719</v>
      </c>
      <c r="Q68">
        <f t="shared" si="15"/>
        <v>0</v>
      </c>
      <c r="R68">
        <f t="shared" si="12"/>
        <v>19531857.934449464</v>
      </c>
      <c r="S68" s="6">
        <f t="shared" si="13"/>
        <v>-0.10722374402308477</v>
      </c>
      <c r="U68" s="5">
        <v>0.85</v>
      </c>
      <c r="V68" s="5">
        <v>0.02</v>
      </c>
      <c r="W68" t="s">
        <v>29</v>
      </c>
      <c r="X68" s="5">
        <v>0.85</v>
      </c>
      <c r="Y68" t="s">
        <v>29</v>
      </c>
      <c r="Z68" t="s">
        <v>29</v>
      </c>
    </row>
    <row r="69" spans="1:26" x14ac:dyDescent="0.2">
      <c r="A69" s="2">
        <v>2048</v>
      </c>
      <c r="B69" s="1">
        <v>13.2</v>
      </c>
      <c r="C69" s="4">
        <v>198094716</v>
      </c>
      <c r="D69" s="4">
        <v>18603779</v>
      </c>
      <c r="E69" s="4">
        <v>19682317</v>
      </c>
      <c r="F69" s="4">
        <v>39542763</v>
      </c>
      <c r="G69" s="4">
        <v>178696890</v>
      </c>
      <c r="H69" s="4">
        <v>6606799</v>
      </c>
      <c r="J69" s="4">
        <v>363333810</v>
      </c>
      <c r="L69">
        <f t="shared" si="11"/>
        <v>15033457.465400379</v>
      </c>
      <c r="M69">
        <f t="shared" si="8"/>
        <v>960713.00993729709</v>
      </c>
      <c r="N69">
        <f t="shared" si="9"/>
        <v>212569.41200203574</v>
      </c>
      <c r="O69">
        <f t="shared" si="10"/>
        <v>1357938.8432911974</v>
      </c>
      <c r="P69">
        <f t="shared" si="14"/>
        <v>82724.541462519905</v>
      </c>
      <c r="Q69">
        <f t="shared" si="15"/>
        <v>0</v>
      </c>
      <c r="R69">
        <f t="shared" si="12"/>
        <v>17647403.27209343</v>
      </c>
      <c r="S69" s="6">
        <f t="shared" si="13"/>
        <v>-3.9760624867968275E-4</v>
      </c>
      <c r="U69" s="5">
        <v>0.85</v>
      </c>
      <c r="V69" s="5">
        <v>0.02</v>
      </c>
      <c r="W69" t="s">
        <v>29</v>
      </c>
      <c r="X69" s="5">
        <v>0.85</v>
      </c>
      <c r="Y69" t="s">
        <v>29</v>
      </c>
      <c r="Z69" t="s">
        <v>29</v>
      </c>
    </row>
    <row r="70" spans="1:26" x14ac:dyDescent="0.2">
      <c r="A70" s="2">
        <v>2049</v>
      </c>
      <c r="B70" s="1">
        <v>13.4</v>
      </c>
      <c r="C70" s="4">
        <v>159220164</v>
      </c>
      <c r="D70" s="4">
        <v>17828961</v>
      </c>
      <c r="E70" s="4">
        <v>19855346</v>
      </c>
      <c r="F70" s="4">
        <v>47868465</v>
      </c>
      <c r="G70" s="4">
        <v>248769613</v>
      </c>
      <c r="H70" s="4">
        <v>8664344</v>
      </c>
      <c r="J70" s="4">
        <v>366527919</v>
      </c>
      <c r="L70">
        <f t="shared" si="11"/>
        <v>12083258.006377479</v>
      </c>
      <c r="M70">
        <f t="shared" si="8"/>
        <v>920700.83107118658</v>
      </c>
      <c r="N70">
        <f t="shared" si="9"/>
        <v>214438.12861651261</v>
      </c>
      <c r="O70">
        <f t="shared" si="10"/>
        <v>1643851.9481358745</v>
      </c>
      <c r="P70">
        <f t="shared" si="14"/>
        <v>115163.46012084221</v>
      </c>
      <c r="Q70">
        <f t="shared" si="15"/>
        <v>0</v>
      </c>
      <c r="R70">
        <f t="shared" si="12"/>
        <v>14977412.374321895</v>
      </c>
      <c r="S70" s="6">
        <f t="shared" si="13"/>
        <v>0.15095908128507518</v>
      </c>
      <c r="U70" s="5">
        <v>0.85</v>
      </c>
      <c r="V70" s="5">
        <v>0.02</v>
      </c>
      <c r="W70" t="s">
        <v>29</v>
      </c>
      <c r="X70" s="5">
        <v>0.85</v>
      </c>
      <c r="Y70" t="s">
        <v>29</v>
      </c>
      <c r="Z70" t="s">
        <v>29</v>
      </c>
    </row>
    <row r="71" spans="1:26" x14ac:dyDescent="0.2">
      <c r="A71" s="2">
        <v>2050</v>
      </c>
      <c r="B71" s="1">
        <v>13.5</v>
      </c>
      <c r="C71" s="4">
        <v>104780395</v>
      </c>
      <c r="D71" s="4">
        <v>17076131</v>
      </c>
      <c r="E71" s="4">
        <v>20017844</v>
      </c>
      <c r="F71" s="4">
        <v>57912270</v>
      </c>
      <c r="G71" s="4">
        <v>346111681</v>
      </c>
      <c r="H71" s="4">
        <v>11355830</v>
      </c>
      <c r="J71" s="4">
        <v>369527617</v>
      </c>
      <c r="L71">
        <f t="shared" si="11"/>
        <v>7951810.3422826808</v>
      </c>
      <c r="M71">
        <f t="shared" si="8"/>
        <v>881824.12890916364</v>
      </c>
      <c r="N71">
        <f t="shared" si="9"/>
        <v>216193.1102231754</v>
      </c>
      <c r="O71">
        <f t="shared" si="10"/>
        <v>1988766.4636931801</v>
      </c>
      <c r="P71">
        <f t="shared" si="14"/>
        <v>160226.23620112785</v>
      </c>
      <c r="Q71">
        <f t="shared" si="15"/>
        <v>0</v>
      </c>
      <c r="R71">
        <f t="shared" si="12"/>
        <v>11198820.281309327</v>
      </c>
      <c r="S71" s="6">
        <f t="shared" si="13"/>
        <v>0.36516025448643685</v>
      </c>
      <c r="U71" s="5">
        <v>0.85</v>
      </c>
      <c r="V71" s="5">
        <v>0.02</v>
      </c>
      <c r="W71" t="s">
        <v>29</v>
      </c>
      <c r="X71" s="5">
        <v>0.85</v>
      </c>
      <c r="Y71" t="s">
        <v>29</v>
      </c>
      <c r="Z71" t="s">
        <v>29</v>
      </c>
    </row>
    <row r="72" spans="1:26" x14ac:dyDescent="0.2">
      <c r="A72" s="1"/>
      <c r="B72" s="1"/>
      <c r="C72" s="1"/>
      <c r="D72" s="1"/>
      <c r="E72" s="1"/>
      <c r="F72" s="1"/>
      <c r="G72" s="1"/>
      <c r="H72" s="1"/>
      <c r="J72" s="1"/>
    </row>
    <row r="73" spans="1:26" x14ac:dyDescent="0.2">
      <c r="A73" s="1" t="s">
        <v>32</v>
      </c>
      <c r="B73" s="1"/>
      <c r="C73" s="1"/>
      <c r="D73" s="1"/>
      <c r="E73" s="1"/>
      <c r="F73" s="1"/>
      <c r="G73" s="1"/>
      <c r="H73" s="1"/>
      <c r="J73" s="1"/>
    </row>
    <row r="74" spans="1:26" s="8" customFormat="1" ht="51" x14ac:dyDescent="0.2">
      <c r="C74" s="8" t="s">
        <v>17</v>
      </c>
      <c r="D74" s="8" t="s">
        <v>18</v>
      </c>
      <c r="E74" s="8" t="s">
        <v>19</v>
      </c>
      <c r="F74" s="8" t="s">
        <v>20</v>
      </c>
      <c r="G74" s="8" t="s">
        <v>21</v>
      </c>
      <c r="H74" s="8" t="s">
        <v>22</v>
      </c>
      <c r="I74" s="8" t="s">
        <v>11</v>
      </c>
      <c r="J74" s="8" t="s">
        <v>24</v>
      </c>
      <c r="K74" s="8" t="s">
        <v>25</v>
      </c>
      <c r="L74" s="8" t="s">
        <v>26</v>
      </c>
      <c r="M74"/>
    </row>
    <row r="75" spans="1:26" x14ac:dyDescent="0.2">
      <c r="A75" s="1" t="s">
        <v>34</v>
      </c>
      <c r="B75" s="1" t="s">
        <v>16</v>
      </c>
      <c r="C75" s="1">
        <v>1.319917299764199</v>
      </c>
      <c r="D75" s="1">
        <v>1.319917299764199</v>
      </c>
      <c r="E75" s="1">
        <v>1.319917299764199</v>
      </c>
      <c r="F75">
        <v>1.1969443055039937</v>
      </c>
      <c r="G75" s="1">
        <v>1.1969443055039937</v>
      </c>
      <c r="H75" s="1">
        <v>1.1969443055039937</v>
      </c>
      <c r="I75" s="1">
        <v>0.22500041111567698</v>
      </c>
      <c r="J75" s="1">
        <v>0</v>
      </c>
      <c r="K75" s="1">
        <v>1.1969443055039937</v>
      </c>
      <c r="L75" s="1">
        <v>2.4888827066932146E-2</v>
      </c>
    </row>
    <row r="76" spans="1:26" ht="17" x14ac:dyDescent="0.2">
      <c r="A76" s="8" t="s">
        <v>35</v>
      </c>
      <c r="B76" s="1" t="s">
        <v>16</v>
      </c>
      <c r="C76" s="1">
        <v>1.9880347791091268</v>
      </c>
      <c r="D76" s="1">
        <v>1.9880347791091268</v>
      </c>
      <c r="E76" s="1">
        <v>1.9880347791091268</v>
      </c>
      <c r="F76">
        <v>1.8189856318392734</v>
      </c>
      <c r="G76" s="1">
        <v>1.8189856318392734</v>
      </c>
      <c r="H76" s="1">
        <v>1.8189856318392734</v>
      </c>
      <c r="I76" s="1">
        <v>0.22500041111567698</v>
      </c>
      <c r="J76" s="1">
        <v>0</v>
      </c>
      <c r="K76" s="1">
        <v>1.8189856318392734</v>
      </c>
      <c r="L76" s="1">
        <v>2.4888827066932146E-2</v>
      </c>
    </row>
    <row r="77" spans="1:26" x14ac:dyDescent="0.2">
      <c r="A77" s="1"/>
      <c r="B77" s="1"/>
      <c r="C77" s="1"/>
      <c r="D77" s="1"/>
      <c r="E77" s="1"/>
      <c r="F77" s="1"/>
      <c r="G77" s="1"/>
      <c r="H77" s="1"/>
      <c r="J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J78" s="1"/>
    </row>
    <row r="79" spans="1:26" x14ac:dyDescent="0.2">
      <c r="A79" s="1"/>
    </row>
    <row r="80" spans="1:26" x14ac:dyDescent="0.2">
      <c r="A80" s="8"/>
    </row>
  </sheetData>
  <mergeCells count="4">
    <mergeCell ref="L2:S2"/>
    <mergeCell ref="L38:S38"/>
    <mergeCell ref="U2:Z2"/>
    <mergeCell ref="U38:Z38"/>
  </mergeCells>
  <pageMargins left="0.7" right="0.7" top="0.75" bottom="0.75" header="0.3" footer="0.3"/>
  <ignoredErrors>
    <ignoredError sqref="M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A69CD-033B-B943-8DC1-1E145957996C}">
  <dimension ref="A1:Z78"/>
  <sheetViews>
    <sheetView topLeftCell="A41" workbookViewId="0">
      <selection activeCell="S41" sqref="S41:S71"/>
    </sheetView>
  </sheetViews>
  <sheetFormatPr baseColWidth="10" defaultRowHeight="16" x14ac:dyDescent="0.2"/>
  <cols>
    <col min="2" max="2" width="35.1640625" customWidth="1"/>
    <col min="12" max="14" width="12.1640625" bestFit="1" customWidth="1"/>
    <col min="15" max="15" width="11.1640625" bestFit="1" customWidth="1"/>
  </cols>
  <sheetData>
    <row r="1" spans="1:26" ht="22" x14ac:dyDescent="0.3">
      <c r="A1" s="9" t="s">
        <v>41</v>
      </c>
    </row>
    <row r="2" spans="1:26" x14ac:dyDescent="0.2">
      <c r="A2" s="1"/>
      <c r="B2" s="1"/>
      <c r="C2" s="1">
        <v>40.200000000000003</v>
      </c>
      <c r="D2" s="1">
        <v>42.7</v>
      </c>
      <c r="E2" s="1">
        <v>48</v>
      </c>
      <c r="F2" s="1">
        <v>19.899999999999999</v>
      </c>
      <c r="G2" s="1">
        <v>18.600000000000001</v>
      </c>
      <c r="H2" s="1">
        <v>120</v>
      </c>
      <c r="J2" s="1"/>
      <c r="L2" s="13" t="s">
        <v>38</v>
      </c>
      <c r="M2" s="13"/>
      <c r="N2" s="13"/>
      <c r="O2" s="13"/>
      <c r="P2" s="13"/>
      <c r="Q2" s="13"/>
      <c r="R2" s="13"/>
      <c r="S2" s="13"/>
      <c r="U2" s="13" t="s">
        <v>36</v>
      </c>
      <c r="V2" s="13"/>
      <c r="W2" s="13"/>
      <c r="X2" s="13"/>
      <c r="Y2" s="13"/>
      <c r="Z2" s="13"/>
    </row>
    <row r="3" spans="1:26" x14ac:dyDescent="0.2">
      <c r="A3" s="2" t="s">
        <v>0</v>
      </c>
      <c r="B3" s="3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J3" s="1" t="s">
        <v>15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28</v>
      </c>
      <c r="S3" s="1" t="s">
        <v>30</v>
      </c>
      <c r="U3" s="1" t="s">
        <v>9</v>
      </c>
      <c r="V3" s="1" t="s">
        <v>10</v>
      </c>
      <c r="W3" s="1" t="s">
        <v>11</v>
      </c>
      <c r="X3" s="1" t="s">
        <v>12</v>
      </c>
      <c r="Y3" s="1" t="s">
        <v>13</v>
      </c>
      <c r="Z3" s="1" t="s">
        <v>14</v>
      </c>
    </row>
    <row r="4" spans="1:26" x14ac:dyDescent="0.2">
      <c r="A4" s="2">
        <v>2019</v>
      </c>
      <c r="B4" s="1">
        <v>9.9</v>
      </c>
      <c r="C4" s="4">
        <v>196317426</v>
      </c>
      <c r="D4" s="4">
        <v>50567463</v>
      </c>
      <c r="E4" s="4">
        <v>11574174</v>
      </c>
      <c r="F4" s="4">
        <v>153689</v>
      </c>
      <c r="G4" s="1" t="s">
        <v>8</v>
      </c>
      <c r="H4" s="1" t="s">
        <v>8</v>
      </c>
      <c r="J4" s="7">
        <v>263925621</v>
      </c>
      <c r="L4">
        <f>(C4*U4*C$2*1000*$C$76+C4*(1-U4)*1000*C$2*$C$75)/1000000</f>
        <v>592737.99003864941</v>
      </c>
      <c r="M4">
        <f>(D4*V4*D$2*1000*$H$76+D4*(1-V4)*1000*D$2*$H$75)/1000000</f>
        <v>123882.02119675133</v>
      </c>
      <c r="N4">
        <f>(E4*E$2*1000*$I$75)/1000000</f>
        <v>34408.352620944002</v>
      </c>
      <c r="O4">
        <f>(F4*X4*F$2*1000*$K$76+F4*(1-X4)*1000*F$2*$K$75)/1000000</f>
        <v>228.92629752150651</v>
      </c>
      <c r="P4" s="1" t="s">
        <v>8</v>
      </c>
      <c r="Q4" s="1" t="s">
        <v>8</v>
      </c>
      <c r="R4">
        <f>SUM(L4:Q4)</f>
        <v>751257.29015386628</v>
      </c>
      <c r="S4" t="s">
        <v>29</v>
      </c>
      <c r="U4" s="5">
        <v>0.85</v>
      </c>
      <c r="V4" s="5">
        <v>0.02</v>
      </c>
      <c r="W4" t="s">
        <v>29</v>
      </c>
      <c r="X4" s="5">
        <v>0.95</v>
      </c>
      <c r="Y4" t="s">
        <v>29</v>
      </c>
      <c r="Z4" t="s">
        <v>29</v>
      </c>
    </row>
    <row r="5" spans="1:26" x14ac:dyDescent="0.2">
      <c r="A5" s="2">
        <v>2020</v>
      </c>
      <c r="B5" s="1">
        <v>10.4</v>
      </c>
      <c r="C5" s="4">
        <v>198809774</v>
      </c>
      <c r="D5" s="4">
        <v>52244612</v>
      </c>
      <c r="E5" s="4">
        <v>12298869</v>
      </c>
      <c r="F5" s="4">
        <v>176122</v>
      </c>
      <c r="G5" s="1" t="s">
        <v>8</v>
      </c>
      <c r="H5" s="1" t="s">
        <v>8</v>
      </c>
      <c r="J5" s="7">
        <v>269075831</v>
      </c>
      <c r="L5">
        <f t="shared" ref="L5:L35" si="0">(C5*U5*C$2*1000*$D$76+C5*(1-U5)*1000*C$2*$D$75)/1000000</f>
        <v>600263.09554811567</v>
      </c>
      <c r="M5">
        <f t="shared" ref="M5:M35" si="1">(D5*V5*D$2*1000*$H$76+D5*(1-V5)*1000*D$2*$H$75)/1000000</f>
        <v>127990.76218634991</v>
      </c>
      <c r="N5">
        <f t="shared" ref="N5:N35" si="2">(E5*E$2*1000*$I$75)/1000000</f>
        <v>36562.766499863996</v>
      </c>
      <c r="O5">
        <f t="shared" ref="O5:O35" si="3">(F5*X5*F$2*1000*$K$76+F5*(1-X5)*1000*F$2*$K$75)/1000000</f>
        <v>262.34120445889278</v>
      </c>
      <c r="P5" s="1" t="s">
        <v>8</v>
      </c>
      <c r="Q5" s="1" t="s">
        <v>8</v>
      </c>
      <c r="R5">
        <f t="shared" ref="R5:R35" si="4">SUM(L5:Q5)</f>
        <v>765078.96543878852</v>
      </c>
      <c r="S5" s="6">
        <f>1-R5/$R$4</f>
        <v>-1.8398058116802396E-2</v>
      </c>
      <c r="U5" s="5">
        <v>0.85</v>
      </c>
      <c r="V5" s="5">
        <v>0.02</v>
      </c>
      <c r="W5" t="s">
        <v>29</v>
      </c>
      <c r="X5" s="5">
        <v>0.95</v>
      </c>
      <c r="Y5" t="s">
        <v>29</v>
      </c>
      <c r="Z5" t="s">
        <v>29</v>
      </c>
    </row>
    <row r="6" spans="1:26" x14ac:dyDescent="0.2">
      <c r="A6" s="2">
        <v>2021</v>
      </c>
      <c r="B6" s="1">
        <v>10.6</v>
      </c>
      <c r="C6" s="4">
        <v>204568676</v>
      </c>
      <c r="D6" s="4">
        <v>52515022</v>
      </c>
      <c r="E6" s="4">
        <v>13830180</v>
      </c>
      <c r="F6" s="4">
        <v>163472</v>
      </c>
      <c r="G6" s="1" t="s">
        <v>8</v>
      </c>
      <c r="H6" s="1" t="s">
        <v>8</v>
      </c>
      <c r="J6" s="4">
        <v>276944127</v>
      </c>
      <c r="L6">
        <f t="shared" si="0"/>
        <v>617650.85406686051</v>
      </c>
      <c r="M6">
        <f t="shared" si="1"/>
        <v>128653.22249905758</v>
      </c>
      <c r="N6">
        <f t="shared" si="2"/>
        <v>41115.133594080005</v>
      </c>
      <c r="O6">
        <f t="shared" si="3"/>
        <v>243.49849181422036</v>
      </c>
      <c r="P6" s="1" t="s">
        <v>8</v>
      </c>
      <c r="Q6" s="1" t="s">
        <v>8</v>
      </c>
      <c r="R6">
        <f t="shared" si="4"/>
        <v>787662.70865181228</v>
      </c>
      <c r="S6" s="6">
        <f t="shared" ref="S6:S35" si="5">1-R6/$R$4</f>
        <v>-4.845932142700371E-2</v>
      </c>
      <c r="U6" s="5">
        <v>0.85</v>
      </c>
      <c r="V6" s="5">
        <v>0.02</v>
      </c>
      <c r="W6" t="s">
        <v>29</v>
      </c>
      <c r="X6" s="5">
        <v>0.95</v>
      </c>
      <c r="Y6" t="s">
        <v>29</v>
      </c>
      <c r="Z6" t="s">
        <v>29</v>
      </c>
    </row>
    <row r="7" spans="1:26" x14ac:dyDescent="0.2">
      <c r="A7" s="2">
        <v>2022</v>
      </c>
      <c r="B7" s="1">
        <v>10.7</v>
      </c>
      <c r="C7" s="4">
        <v>207509604</v>
      </c>
      <c r="D7" s="4">
        <v>53007269</v>
      </c>
      <c r="E7" s="4">
        <v>14075107</v>
      </c>
      <c r="F7" s="4">
        <v>234457</v>
      </c>
      <c r="G7" s="1" t="s">
        <v>8</v>
      </c>
      <c r="H7" s="1" t="s">
        <v>8</v>
      </c>
      <c r="J7" s="4">
        <v>280735505</v>
      </c>
      <c r="L7">
        <f t="shared" si="0"/>
        <v>626530.34982577688</v>
      </c>
      <c r="M7">
        <f t="shared" si="1"/>
        <v>129859.14721171395</v>
      </c>
      <c r="N7">
        <f t="shared" si="2"/>
        <v>41843.266295592002</v>
      </c>
      <c r="O7">
        <f t="shared" si="3"/>
        <v>349.23366628711136</v>
      </c>
      <c r="P7" s="1" t="s">
        <v>8</v>
      </c>
      <c r="Q7" s="1" t="s">
        <v>8</v>
      </c>
      <c r="R7">
        <f t="shared" si="4"/>
        <v>798581.99699936993</v>
      </c>
      <c r="S7" s="6">
        <f t="shared" si="5"/>
        <v>-6.2994006801333047E-2</v>
      </c>
      <c r="U7" s="5">
        <v>0.85</v>
      </c>
      <c r="V7" s="5">
        <v>0.02</v>
      </c>
      <c r="W7" t="s">
        <v>29</v>
      </c>
      <c r="X7" s="5">
        <v>0.95</v>
      </c>
      <c r="Y7" t="s">
        <v>29</v>
      </c>
      <c r="Z7" t="s">
        <v>29</v>
      </c>
    </row>
    <row r="8" spans="1:26" x14ac:dyDescent="0.2">
      <c r="A8" s="2">
        <v>2023</v>
      </c>
      <c r="B8" s="1">
        <v>10.3</v>
      </c>
      <c r="C8" s="4">
        <v>209125640</v>
      </c>
      <c r="D8" s="4">
        <v>52258070</v>
      </c>
      <c r="E8" s="4">
        <v>15336227</v>
      </c>
      <c r="F8" s="4">
        <v>322982</v>
      </c>
      <c r="G8" s="1" t="s">
        <v>8</v>
      </c>
      <c r="H8" s="1" t="s">
        <v>8</v>
      </c>
      <c r="J8" s="4">
        <v>283105387</v>
      </c>
      <c r="L8">
        <f t="shared" si="0"/>
        <v>631409.62086140108</v>
      </c>
      <c r="M8">
        <f t="shared" si="1"/>
        <v>128023.73208719832</v>
      </c>
      <c r="N8">
        <f t="shared" si="2"/>
        <v>45592.394454312001</v>
      </c>
      <c r="O8">
        <f t="shared" si="3"/>
        <v>481.09541623727932</v>
      </c>
      <c r="P8" s="1" t="s">
        <v>8</v>
      </c>
      <c r="Q8" s="1" t="s">
        <v>8</v>
      </c>
      <c r="R8">
        <f t="shared" si="4"/>
        <v>805506.84281914867</v>
      </c>
      <c r="S8" s="6">
        <f t="shared" si="5"/>
        <v>-7.2211682171059444E-2</v>
      </c>
      <c r="U8" s="5">
        <v>0.85</v>
      </c>
      <c r="V8" s="5">
        <v>0.02</v>
      </c>
      <c r="W8" t="s">
        <v>29</v>
      </c>
      <c r="X8" s="5">
        <v>0.95</v>
      </c>
      <c r="Y8" t="s">
        <v>29</v>
      </c>
      <c r="Z8" t="s">
        <v>29</v>
      </c>
    </row>
    <row r="9" spans="1:26" x14ac:dyDescent="0.2">
      <c r="A9" s="2">
        <v>2024</v>
      </c>
      <c r="B9" s="1">
        <v>10.4</v>
      </c>
      <c r="C9" s="4">
        <v>210459229</v>
      </c>
      <c r="D9" s="4">
        <v>52845074</v>
      </c>
      <c r="E9" s="4">
        <v>16283920</v>
      </c>
      <c r="F9" s="4">
        <v>391932</v>
      </c>
      <c r="G9" s="4">
        <v>61875</v>
      </c>
      <c r="H9" s="4">
        <v>9591</v>
      </c>
      <c r="J9" s="4">
        <v>286285448</v>
      </c>
      <c r="L9">
        <f t="shared" si="0"/>
        <v>635436.10429439833</v>
      </c>
      <c r="M9">
        <f t="shared" si="1"/>
        <v>129461.7959657555</v>
      </c>
      <c r="N9">
        <f t="shared" si="2"/>
        <v>48409.749275520007</v>
      </c>
      <c r="O9">
        <f t="shared" si="3"/>
        <v>583.79937171950553</v>
      </c>
      <c r="P9">
        <f>(G9*G$2*1000*$L$75)/1000000</f>
        <v>28.643928850655534</v>
      </c>
      <c r="Q9">
        <f t="shared" ref="Q9:Q35" si="6">H9*1000*H$2*$J$75/1000000</f>
        <v>0</v>
      </c>
      <c r="R9">
        <f t="shared" si="4"/>
        <v>813920.09283624392</v>
      </c>
      <c r="S9" s="6">
        <f t="shared" si="5"/>
        <v>-8.3410575183295199E-2</v>
      </c>
      <c r="U9" s="5">
        <v>0.85</v>
      </c>
      <c r="V9" s="5">
        <v>0.02</v>
      </c>
      <c r="W9" t="s">
        <v>29</v>
      </c>
      <c r="X9" s="5">
        <v>0.95</v>
      </c>
      <c r="Y9" t="s">
        <v>29</v>
      </c>
      <c r="Z9" t="s">
        <v>29</v>
      </c>
    </row>
    <row r="10" spans="1:26" x14ac:dyDescent="0.2">
      <c r="A10" s="2">
        <v>2025</v>
      </c>
      <c r="B10" s="1">
        <v>10.6</v>
      </c>
      <c r="C10" s="4">
        <v>213046760</v>
      </c>
      <c r="D10" s="4">
        <v>53756306</v>
      </c>
      <c r="E10" s="4">
        <v>17392947</v>
      </c>
      <c r="F10" s="4">
        <v>478428</v>
      </c>
      <c r="G10" s="4">
        <v>78677</v>
      </c>
      <c r="H10" s="4">
        <v>11707</v>
      </c>
      <c r="J10" s="4">
        <v>291222001</v>
      </c>
      <c r="L10">
        <f t="shared" si="0"/>
        <v>643248.59427734429</v>
      </c>
      <c r="M10">
        <f t="shared" si="1"/>
        <v>131694.16546270176</v>
      </c>
      <c r="N10">
        <f t="shared" si="2"/>
        <v>51706.726846632002</v>
      </c>
      <c r="O10">
        <f t="shared" si="3"/>
        <v>712.63883993401816</v>
      </c>
      <c r="P10">
        <f t="shared" ref="P10:P35" si="7">(G10*G$2*1000*$L$75)/1000000</f>
        <v>36.422115396897382</v>
      </c>
      <c r="Q10">
        <f t="shared" si="6"/>
        <v>0</v>
      </c>
      <c r="R10">
        <f t="shared" si="4"/>
        <v>827398.54754200892</v>
      </c>
      <c r="S10" s="6">
        <f t="shared" si="5"/>
        <v>-0.10135177173794618</v>
      </c>
      <c r="U10" s="5">
        <v>0.85</v>
      </c>
      <c r="V10" s="5">
        <v>0.02</v>
      </c>
      <c r="W10" t="s">
        <v>29</v>
      </c>
      <c r="X10" s="5">
        <v>0.95</v>
      </c>
      <c r="Y10" t="s">
        <v>29</v>
      </c>
      <c r="Z10" t="s">
        <v>29</v>
      </c>
    </row>
    <row r="11" spans="1:26" x14ac:dyDescent="0.2">
      <c r="A11" s="2">
        <v>2026</v>
      </c>
      <c r="B11" s="1">
        <v>10.8</v>
      </c>
      <c r="C11" s="4">
        <v>215179126</v>
      </c>
      <c r="D11" s="4">
        <v>54576609</v>
      </c>
      <c r="E11" s="4">
        <v>18541276</v>
      </c>
      <c r="F11" s="4">
        <v>582875</v>
      </c>
      <c r="G11" s="4">
        <v>99847</v>
      </c>
      <c r="H11" s="4">
        <v>14263</v>
      </c>
      <c r="J11" s="4">
        <v>295665950</v>
      </c>
      <c r="L11">
        <f t="shared" si="0"/>
        <v>649686.8120281552</v>
      </c>
      <c r="M11">
        <f t="shared" si="1"/>
        <v>133703.77376821946</v>
      </c>
      <c r="N11">
        <f t="shared" si="2"/>
        <v>55120.543604256003</v>
      </c>
      <c r="O11">
        <f t="shared" si="3"/>
        <v>868.21708559394722</v>
      </c>
      <c r="P11">
        <f t="shared" si="7"/>
        <v>46.222389720426726</v>
      </c>
      <c r="Q11">
        <f t="shared" si="6"/>
        <v>0</v>
      </c>
      <c r="R11">
        <f t="shared" si="4"/>
        <v>839425.56887594494</v>
      </c>
      <c r="S11" s="6">
        <f t="shared" si="5"/>
        <v>-0.11736096258582829</v>
      </c>
      <c r="U11" s="5">
        <v>0.85</v>
      </c>
      <c r="V11" s="5">
        <v>0.02</v>
      </c>
      <c r="W11" t="s">
        <v>29</v>
      </c>
      <c r="X11" s="5">
        <v>0.95</v>
      </c>
      <c r="Y11" t="s">
        <v>29</v>
      </c>
      <c r="Z11" t="s">
        <v>29</v>
      </c>
    </row>
    <row r="12" spans="1:26" x14ac:dyDescent="0.2">
      <c r="A12" s="2">
        <v>2027</v>
      </c>
      <c r="B12" s="1">
        <v>10.9</v>
      </c>
      <c r="C12" s="4">
        <v>217059173</v>
      </c>
      <c r="D12" s="4">
        <v>55358238</v>
      </c>
      <c r="E12" s="4">
        <v>19747159</v>
      </c>
      <c r="F12" s="4">
        <v>709467</v>
      </c>
      <c r="G12" s="4">
        <v>126596</v>
      </c>
      <c r="H12" s="4">
        <v>17361</v>
      </c>
      <c r="J12" s="4">
        <v>299900385</v>
      </c>
      <c r="L12">
        <f t="shared" si="0"/>
        <v>655363.20715345698</v>
      </c>
      <c r="M12">
        <f t="shared" si="1"/>
        <v>135618.63709339747</v>
      </c>
      <c r="N12">
        <f t="shared" si="2"/>
        <v>58705.460116104005</v>
      </c>
      <c r="O12">
        <f t="shared" si="3"/>
        <v>1056.7812499508141</v>
      </c>
      <c r="P12">
        <f t="shared" si="7"/>
        <v>58.605362695395357</v>
      </c>
      <c r="Q12">
        <f t="shared" si="6"/>
        <v>0</v>
      </c>
      <c r="R12">
        <f t="shared" si="4"/>
        <v>850802.69097560458</v>
      </c>
      <c r="S12" s="6">
        <f t="shared" si="5"/>
        <v>-0.13250507133361755</v>
      </c>
      <c r="U12" s="5">
        <v>0.85</v>
      </c>
      <c r="V12" s="5">
        <v>0.02</v>
      </c>
      <c r="W12" t="s">
        <v>29</v>
      </c>
      <c r="X12" s="5">
        <v>0.95</v>
      </c>
      <c r="Y12" t="s">
        <v>29</v>
      </c>
      <c r="Z12" t="s">
        <v>29</v>
      </c>
    </row>
    <row r="13" spans="1:26" x14ac:dyDescent="0.2">
      <c r="A13" s="2">
        <v>2028</v>
      </c>
      <c r="B13" s="1">
        <v>11.1</v>
      </c>
      <c r="C13" s="4">
        <v>218155498</v>
      </c>
      <c r="D13" s="4">
        <v>55966377</v>
      </c>
      <c r="E13" s="4">
        <v>20962296</v>
      </c>
      <c r="F13" s="4">
        <v>860713</v>
      </c>
      <c r="G13" s="4">
        <v>159983</v>
      </c>
      <c r="H13" s="4">
        <v>21062</v>
      </c>
      <c r="J13" s="4">
        <v>303194945</v>
      </c>
      <c r="L13">
        <f t="shared" si="0"/>
        <v>658673.32327595097</v>
      </c>
      <c r="M13">
        <f t="shared" si="1"/>
        <v>137108.47826831602</v>
      </c>
      <c r="N13">
        <f t="shared" si="2"/>
        <v>62317.887437376005</v>
      </c>
      <c r="O13">
        <f t="shared" si="3"/>
        <v>1282.0685951410214</v>
      </c>
      <c r="P13">
        <f t="shared" si="7"/>
        <v>74.061279504071521</v>
      </c>
      <c r="Q13">
        <f t="shared" si="6"/>
        <v>0</v>
      </c>
      <c r="R13">
        <f t="shared" si="4"/>
        <v>859455.8188562881</v>
      </c>
      <c r="S13" s="6">
        <f t="shared" si="5"/>
        <v>-0.14402326622382788</v>
      </c>
      <c r="U13" s="5">
        <v>0.85</v>
      </c>
      <c r="V13" s="5">
        <v>0.02</v>
      </c>
      <c r="W13" t="s">
        <v>29</v>
      </c>
      <c r="X13" s="5">
        <v>0.95</v>
      </c>
      <c r="Y13" t="s">
        <v>29</v>
      </c>
      <c r="Z13" t="s">
        <v>29</v>
      </c>
    </row>
    <row r="14" spans="1:26" x14ac:dyDescent="0.2">
      <c r="A14" s="2">
        <v>2029</v>
      </c>
      <c r="B14" s="1">
        <v>11.2</v>
      </c>
      <c r="C14" s="4">
        <v>219533167</v>
      </c>
      <c r="D14" s="4">
        <v>56675146</v>
      </c>
      <c r="E14" s="4">
        <v>22289155</v>
      </c>
      <c r="F14" s="4">
        <v>1045936</v>
      </c>
      <c r="G14" s="4">
        <v>202512</v>
      </c>
      <c r="H14" s="4">
        <v>25594</v>
      </c>
      <c r="J14" s="4">
        <v>307034667</v>
      </c>
      <c r="L14">
        <f t="shared" si="0"/>
        <v>662832.89673123136</v>
      </c>
      <c r="M14">
        <f t="shared" si="1"/>
        <v>138844.84649943729</v>
      </c>
      <c r="N14">
        <f t="shared" si="2"/>
        <v>66262.448176680002</v>
      </c>
      <c r="O14">
        <f t="shared" si="3"/>
        <v>1557.9661259065676</v>
      </c>
      <c r="P14">
        <f t="shared" si="7"/>
        <v>93.749322333801274</v>
      </c>
      <c r="Q14">
        <f t="shared" si="6"/>
        <v>0</v>
      </c>
      <c r="R14">
        <f t="shared" si="4"/>
        <v>869591.90685558901</v>
      </c>
      <c r="S14" s="6">
        <f t="shared" si="5"/>
        <v>-0.15751543213309316</v>
      </c>
      <c r="U14" s="5">
        <v>0.85</v>
      </c>
      <c r="V14" s="5">
        <v>0.02</v>
      </c>
      <c r="W14" t="s">
        <v>29</v>
      </c>
      <c r="X14" s="5">
        <v>0.95</v>
      </c>
      <c r="Y14" t="s">
        <v>29</v>
      </c>
      <c r="Z14" t="s">
        <v>29</v>
      </c>
    </row>
    <row r="15" spans="1:26" x14ac:dyDescent="0.2">
      <c r="A15" s="2">
        <v>2030</v>
      </c>
      <c r="B15" s="1">
        <v>11.3</v>
      </c>
      <c r="C15" s="4">
        <v>220657217</v>
      </c>
      <c r="D15" s="4">
        <v>57350123</v>
      </c>
      <c r="E15" s="4">
        <v>23682340</v>
      </c>
      <c r="F15" s="4">
        <v>1270071</v>
      </c>
      <c r="G15" s="4">
        <v>256155</v>
      </c>
      <c r="H15" s="4">
        <v>31079</v>
      </c>
      <c r="J15" s="4">
        <v>310691318</v>
      </c>
      <c r="L15">
        <f t="shared" si="0"/>
        <v>666226.72249228694</v>
      </c>
      <c r="M15">
        <f t="shared" si="1"/>
        <v>140498.42985245859</v>
      </c>
      <c r="N15">
        <f t="shared" si="2"/>
        <v>70404.186563040013</v>
      </c>
      <c r="O15">
        <f t="shared" si="3"/>
        <v>1891.8247344926269</v>
      </c>
      <c r="P15">
        <f t="shared" si="7"/>
        <v>118.58239345033806</v>
      </c>
      <c r="Q15">
        <f t="shared" si="6"/>
        <v>0</v>
      </c>
      <c r="R15">
        <f t="shared" si="4"/>
        <v>879139.74603572849</v>
      </c>
      <c r="S15" s="6">
        <f t="shared" si="5"/>
        <v>-0.17022457892644249</v>
      </c>
      <c r="U15" s="5">
        <v>0.85</v>
      </c>
      <c r="V15" s="5">
        <v>0.02</v>
      </c>
      <c r="W15" t="s">
        <v>29</v>
      </c>
      <c r="X15" s="5">
        <v>0.95</v>
      </c>
      <c r="Y15" t="s">
        <v>29</v>
      </c>
      <c r="Z15" t="s">
        <v>29</v>
      </c>
    </row>
    <row r="16" spans="1:26" x14ac:dyDescent="0.2">
      <c r="A16" s="2">
        <v>2031</v>
      </c>
      <c r="B16" s="1">
        <v>11.4</v>
      </c>
      <c r="C16" s="4">
        <v>221157572</v>
      </c>
      <c r="D16" s="4">
        <v>57896780</v>
      </c>
      <c r="E16" s="4">
        <v>25103482</v>
      </c>
      <c r="F16" s="4">
        <v>1538612</v>
      </c>
      <c r="G16" s="4">
        <v>323245</v>
      </c>
      <c r="H16" s="4">
        <v>37650</v>
      </c>
      <c r="J16" s="4">
        <v>313652805</v>
      </c>
      <c r="L16">
        <f t="shared" si="0"/>
        <v>667737.43615153083</v>
      </c>
      <c r="M16">
        <f t="shared" si="1"/>
        <v>141837.65017405851</v>
      </c>
      <c r="N16">
        <f t="shared" si="2"/>
        <v>74629.037084592012</v>
      </c>
      <c r="O16">
        <f t="shared" si="3"/>
        <v>2291.8279674027431</v>
      </c>
      <c r="P16">
        <f t="shared" si="7"/>
        <v>149.64051363765896</v>
      </c>
      <c r="Q16">
        <f t="shared" si="6"/>
        <v>0</v>
      </c>
      <c r="R16">
        <f t="shared" si="4"/>
        <v>886645.59189122182</v>
      </c>
      <c r="S16" s="6">
        <f t="shared" si="5"/>
        <v>-0.18021562454272688</v>
      </c>
      <c r="U16" s="5">
        <v>0.85</v>
      </c>
      <c r="V16" s="5">
        <v>0.02</v>
      </c>
      <c r="W16" t="s">
        <v>29</v>
      </c>
      <c r="X16" s="5">
        <v>0.95</v>
      </c>
      <c r="Y16" t="s">
        <v>29</v>
      </c>
      <c r="Z16" t="s">
        <v>29</v>
      </c>
    </row>
    <row r="17" spans="1:26" x14ac:dyDescent="0.2">
      <c r="A17" s="2">
        <v>2032</v>
      </c>
      <c r="B17" s="1">
        <v>11.5</v>
      </c>
      <c r="C17" s="4">
        <v>221301677</v>
      </c>
      <c r="D17" s="4">
        <v>58386191</v>
      </c>
      <c r="E17" s="4">
        <v>26581470</v>
      </c>
      <c r="F17" s="4">
        <v>1861942</v>
      </c>
      <c r="G17" s="4">
        <v>407472</v>
      </c>
      <c r="H17" s="4">
        <v>45562</v>
      </c>
      <c r="J17" s="4">
        <v>316304164</v>
      </c>
      <c r="L17">
        <f t="shared" si="0"/>
        <v>668172.53001861589</v>
      </c>
      <c r="M17">
        <f t="shared" si="1"/>
        <v>143036.6271501414</v>
      </c>
      <c r="N17">
        <f t="shared" si="2"/>
        <v>79022.882578320001</v>
      </c>
      <c r="O17">
        <f t="shared" si="3"/>
        <v>2773.4417444305641</v>
      </c>
      <c r="P17">
        <f t="shared" si="7"/>
        <v>188.63190265267573</v>
      </c>
      <c r="Q17">
        <f t="shared" si="6"/>
        <v>0</v>
      </c>
      <c r="R17">
        <f t="shared" si="4"/>
        <v>893194.11339416052</v>
      </c>
      <c r="S17" s="6">
        <f t="shared" si="5"/>
        <v>-0.18893237390245354</v>
      </c>
      <c r="U17" s="5">
        <v>0.85</v>
      </c>
      <c r="V17" s="5">
        <v>0.02</v>
      </c>
      <c r="W17" t="s">
        <v>29</v>
      </c>
      <c r="X17" s="5">
        <v>0.95</v>
      </c>
      <c r="Y17" t="s">
        <v>29</v>
      </c>
      <c r="Z17" t="s">
        <v>29</v>
      </c>
    </row>
    <row r="18" spans="1:26" x14ac:dyDescent="0.2">
      <c r="A18" s="2">
        <v>2033</v>
      </c>
      <c r="B18" s="1">
        <v>11.6</v>
      </c>
      <c r="C18" s="4">
        <v>221460011</v>
      </c>
      <c r="D18" s="4">
        <v>58919344</v>
      </c>
      <c r="E18" s="4">
        <v>28165409</v>
      </c>
      <c r="F18" s="4">
        <v>2254733</v>
      </c>
      <c r="G18" s="4">
        <v>513991</v>
      </c>
      <c r="H18" s="4">
        <v>55173</v>
      </c>
      <c r="J18" s="4">
        <v>319192495</v>
      </c>
      <c r="L18">
        <f t="shared" si="0"/>
        <v>668650.58527243114</v>
      </c>
      <c r="M18">
        <f t="shared" si="1"/>
        <v>144342.76487840971</v>
      </c>
      <c r="N18">
        <f t="shared" si="2"/>
        <v>83731.705138104007</v>
      </c>
      <c r="O18">
        <f t="shared" si="3"/>
        <v>3358.5206331589056</v>
      </c>
      <c r="P18">
        <f t="shared" si="7"/>
        <v>237.94297590104713</v>
      </c>
      <c r="Q18">
        <f t="shared" si="6"/>
        <v>0</v>
      </c>
      <c r="R18">
        <f t="shared" si="4"/>
        <v>900321.51889800478</v>
      </c>
      <c r="S18" s="6">
        <f t="shared" si="5"/>
        <v>-0.19841967685080086</v>
      </c>
      <c r="U18" s="5">
        <v>0.85</v>
      </c>
      <c r="V18" s="5">
        <v>0.02</v>
      </c>
      <c r="W18" t="s">
        <v>29</v>
      </c>
      <c r="X18" s="5">
        <v>0.95</v>
      </c>
      <c r="Y18" t="s">
        <v>29</v>
      </c>
      <c r="Z18" t="s">
        <v>29</v>
      </c>
    </row>
    <row r="19" spans="1:26" x14ac:dyDescent="0.2">
      <c r="A19" s="2">
        <v>2034</v>
      </c>
      <c r="B19" s="1">
        <v>11.8</v>
      </c>
      <c r="C19" s="4">
        <v>221772830</v>
      </c>
      <c r="D19" s="4">
        <v>59539501</v>
      </c>
      <c r="E19" s="4">
        <v>29884958</v>
      </c>
      <c r="F19" s="4">
        <v>2734159</v>
      </c>
      <c r="G19" s="4">
        <v>649252</v>
      </c>
      <c r="H19" s="4">
        <v>66905</v>
      </c>
      <c r="J19" s="4">
        <v>322552160</v>
      </c>
      <c r="L19">
        <f t="shared" si="0"/>
        <v>669595.07455738075</v>
      </c>
      <c r="M19">
        <f t="shared" si="1"/>
        <v>145862.04818948492</v>
      </c>
      <c r="N19">
        <f t="shared" si="2"/>
        <v>88843.676700048003</v>
      </c>
      <c r="O19">
        <f t="shared" si="3"/>
        <v>4072.6460365094754</v>
      </c>
      <c r="P19">
        <f t="shared" si="7"/>
        <v>300.55964596599284</v>
      </c>
      <c r="Q19">
        <f t="shared" si="6"/>
        <v>0</v>
      </c>
      <c r="R19">
        <f t="shared" si="4"/>
        <v>908674.00512938923</v>
      </c>
      <c r="S19" s="6">
        <f t="shared" si="5"/>
        <v>-0.20953768707293641</v>
      </c>
      <c r="U19" s="5">
        <v>0.85</v>
      </c>
      <c r="V19" s="5">
        <v>0.02</v>
      </c>
      <c r="W19" t="s">
        <v>29</v>
      </c>
      <c r="X19" s="5">
        <v>0.95</v>
      </c>
      <c r="Y19" t="s">
        <v>29</v>
      </c>
      <c r="Z19" t="s">
        <v>29</v>
      </c>
    </row>
    <row r="20" spans="1:26" x14ac:dyDescent="0.2">
      <c r="A20" s="2">
        <v>2035</v>
      </c>
      <c r="B20" s="1">
        <v>11.8</v>
      </c>
      <c r="C20" s="4">
        <v>221353926</v>
      </c>
      <c r="D20" s="4">
        <v>60014241</v>
      </c>
      <c r="E20" s="4">
        <v>31629409</v>
      </c>
      <c r="F20" s="4">
        <v>3307151</v>
      </c>
      <c r="G20" s="4">
        <v>818036</v>
      </c>
      <c r="H20" s="4">
        <v>80926</v>
      </c>
      <c r="J20" s="4">
        <v>325124040</v>
      </c>
      <c r="L20">
        <f t="shared" si="0"/>
        <v>668330.2845688489</v>
      </c>
      <c r="M20">
        <f t="shared" si="1"/>
        <v>147025.0836129339</v>
      </c>
      <c r="N20">
        <f t="shared" si="2"/>
        <v>94029.67832210401</v>
      </c>
      <c r="O20">
        <f t="shared" si="3"/>
        <v>4926.1419735605514</v>
      </c>
      <c r="P20">
        <f t="shared" si="7"/>
        <v>378.69519161656325</v>
      </c>
      <c r="Q20">
        <f t="shared" si="6"/>
        <v>0</v>
      </c>
      <c r="R20">
        <f t="shared" si="4"/>
        <v>914689.88366906391</v>
      </c>
      <c r="S20" s="6">
        <f t="shared" si="5"/>
        <v>-0.21754543437671625</v>
      </c>
      <c r="U20" s="5">
        <v>0.85</v>
      </c>
      <c r="V20" s="5">
        <v>0.02</v>
      </c>
      <c r="W20" t="s">
        <v>29</v>
      </c>
      <c r="X20" s="5">
        <v>0.95</v>
      </c>
      <c r="Y20" t="s">
        <v>29</v>
      </c>
      <c r="Z20" t="s">
        <v>29</v>
      </c>
    </row>
    <row r="21" spans="1:26" x14ac:dyDescent="0.2">
      <c r="A21" s="2">
        <v>2036</v>
      </c>
      <c r="B21" s="1">
        <v>12</v>
      </c>
      <c r="C21" s="4">
        <v>221082116</v>
      </c>
      <c r="D21" s="4">
        <v>60586135</v>
      </c>
      <c r="E21" s="4">
        <v>33527356</v>
      </c>
      <c r="F21" s="4">
        <v>4006400</v>
      </c>
      <c r="G21" s="4">
        <v>1032289</v>
      </c>
      <c r="H21" s="4">
        <v>98036</v>
      </c>
      <c r="J21" s="4">
        <v>328222249</v>
      </c>
      <c r="L21">
        <f t="shared" si="0"/>
        <v>667509.61308616342</v>
      </c>
      <c r="M21">
        <f t="shared" si="1"/>
        <v>148426.1304605935</v>
      </c>
      <c r="N21">
        <f t="shared" si="2"/>
        <v>99672.001448736002</v>
      </c>
      <c r="O21">
        <f t="shared" si="3"/>
        <v>5967.7030782304773</v>
      </c>
      <c r="P21">
        <f t="shared" si="7"/>
        <v>477.8798007161916</v>
      </c>
      <c r="Q21">
        <f t="shared" si="6"/>
        <v>0</v>
      </c>
      <c r="R21">
        <f t="shared" si="4"/>
        <v>922053.32787443965</v>
      </c>
      <c r="S21" s="6">
        <f t="shared" si="5"/>
        <v>-0.22734692888716235</v>
      </c>
      <c r="U21" s="5">
        <v>0.85</v>
      </c>
      <c r="V21" s="5">
        <v>0.02</v>
      </c>
      <c r="W21" t="s">
        <v>29</v>
      </c>
      <c r="X21" s="5">
        <v>0.95</v>
      </c>
      <c r="Y21" t="s">
        <v>29</v>
      </c>
      <c r="Z21" t="s">
        <v>29</v>
      </c>
    </row>
    <row r="22" spans="1:26" x14ac:dyDescent="0.2">
      <c r="A22" s="2">
        <v>2037</v>
      </c>
      <c r="B22" s="1">
        <v>12.1</v>
      </c>
      <c r="C22" s="4">
        <v>220496454</v>
      </c>
      <c r="D22" s="4">
        <v>61138068</v>
      </c>
      <c r="E22" s="4">
        <v>35524425</v>
      </c>
      <c r="F22" s="4">
        <v>4851477</v>
      </c>
      <c r="G22" s="4">
        <v>1302116</v>
      </c>
      <c r="H22" s="4">
        <v>118716</v>
      </c>
      <c r="J22" s="4">
        <v>331212313</v>
      </c>
      <c r="L22">
        <f t="shared" si="0"/>
        <v>665741.33339854155</v>
      </c>
      <c r="M22">
        <f t="shared" si="1"/>
        <v>149778.2761200502</v>
      </c>
      <c r="N22">
        <f t="shared" si="2"/>
        <v>105609.0000078</v>
      </c>
      <c r="O22">
        <f t="shared" si="3"/>
        <v>7226.4811868171819</v>
      </c>
      <c r="P22">
        <f t="shared" si="7"/>
        <v>602.79140297858885</v>
      </c>
      <c r="Q22">
        <f t="shared" si="6"/>
        <v>0</v>
      </c>
      <c r="R22">
        <f t="shared" si="4"/>
        <v>928957.8821161876</v>
      </c>
      <c r="S22" s="6">
        <f t="shared" si="5"/>
        <v>-0.23653759409898867</v>
      </c>
      <c r="U22" s="5">
        <v>0.85</v>
      </c>
      <c r="V22" s="5">
        <v>0.02</v>
      </c>
      <c r="W22" t="s">
        <v>29</v>
      </c>
      <c r="X22" s="5">
        <v>0.95</v>
      </c>
      <c r="Y22" t="s">
        <v>29</v>
      </c>
      <c r="Z22" t="s">
        <v>29</v>
      </c>
    </row>
    <row r="23" spans="1:26" x14ac:dyDescent="0.2">
      <c r="A23" s="2">
        <v>2038</v>
      </c>
      <c r="B23" s="1">
        <v>12.2</v>
      </c>
      <c r="C23" s="4">
        <v>219903498</v>
      </c>
      <c r="D23" s="4">
        <v>61764329</v>
      </c>
      <c r="E23" s="4">
        <v>37682732</v>
      </c>
      <c r="F23" s="4">
        <v>5881407</v>
      </c>
      <c r="G23" s="4">
        <v>1644318</v>
      </c>
      <c r="H23" s="4">
        <v>143918</v>
      </c>
      <c r="J23" s="4">
        <v>334605051</v>
      </c>
      <c r="L23">
        <f t="shared" si="0"/>
        <v>663951.03105614358</v>
      </c>
      <c r="M23">
        <f t="shared" si="1"/>
        <v>151312.51323367993</v>
      </c>
      <c r="N23">
        <f t="shared" si="2"/>
        <v>112025.33592259201</v>
      </c>
      <c r="O23">
        <f t="shared" si="3"/>
        <v>8760.6056954438591</v>
      </c>
      <c r="P23">
        <f t="shared" si="7"/>
        <v>761.20772201781347</v>
      </c>
      <c r="Q23">
        <f t="shared" si="6"/>
        <v>0</v>
      </c>
      <c r="R23">
        <f t="shared" si="4"/>
        <v>936810.69362987706</v>
      </c>
      <c r="S23" s="6">
        <f t="shared" si="5"/>
        <v>-0.24699048635921694</v>
      </c>
      <c r="U23" s="5">
        <v>0.85</v>
      </c>
      <c r="V23" s="5">
        <v>0.02</v>
      </c>
      <c r="W23" t="s">
        <v>29</v>
      </c>
      <c r="X23" s="5">
        <v>0.95</v>
      </c>
      <c r="Y23" t="s">
        <v>29</v>
      </c>
      <c r="Z23" t="s">
        <v>29</v>
      </c>
    </row>
    <row r="24" spans="1:26" x14ac:dyDescent="0.2">
      <c r="A24" s="2">
        <v>2039</v>
      </c>
      <c r="B24" s="1">
        <v>12.3</v>
      </c>
      <c r="C24" s="4">
        <v>218665493</v>
      </c>
      <c r="D24" s="4">
        <v>62297120</v>
      </c>
      <c r="E24" s="4">
        <v>39908180</v>
      </c>
      <c r="F24" s="4">
        <v>7118569</v>
      </c>
      <c r="G24" s="4">
        <v>2073128</v>
      </c>
      <c r="H24" s="4">
        <v>174191</v>
      </c>
      <c r="J24" s="4">
        <v>337491422</v>
      </c>
      <c r="L24">
        <f t="shared" si="0"/>
        <v>660213.14282936009</v>
      </c>
      <c r="M24">
        <f t="shared" si="1"/>
        <v>152617.76412110214</v>
      </c>
      <c r="N24">
        <f t="shared" si="2"/>
        <v>118641.27236208</v>
      </c>
      <c r="O24">
        <f t="shared" si="3"/>
        <v>10603.411075752807</v>
      </c>
      <c r="P24">
        <f t="shared" si="7"/>
        <v>959.71767160083743</v>
      </c>
      <c r="Q24">
        <f t="shared" si="6"/>
        <v>0</v>
      </c>
      <c r="R24">
        <f t="shared" si="4"/>
        <v>943035.30805989599</v>
      </c>
      <c r="S24" s="6">
        <f t="shared" si="5"/>
        <v>-0.25527608240147837</v>
      </c>
      <c r="U24" s="5">
        <v>0.85</v>
      </c>
      <c r="V24" s="5">
        <v>0.02</v>
      </c>
      <c r="W24" t="s">
        <v>29</v>
      </c>
      <c r="X24" s="5">
        <v>0.95</v>
      </c>
      <c r="Y24" t="s">
        <v>29</v>
      </c>
      <c r="Z24" t="s">
        <v>29</v>
      </c>
    </row>
    <row r="25" spans="1:26" x14ac:dyDescent="0.2">
      <c r="A25" s="2">
        <v>2040</v>
      </c>
      <c r="B25" s="1">
        <v>12.4</v>
      </c>
      <c r="C25" s="4">
        <v>217306110</v>
      </c>
      <c r="D25" s="4">
        <v>62896769</v>
      </c>
      <c r="E25" s="4">
        <v>42306937</v>
      </c>
      <c r="F25" s="4">
        <v>8624508</v>
      </c>
      <c r="G25" s="4">
        <v>2616353</v>
      </c>
      <c r="H25" s="4">
        <v>211041</v>
      </c>
      <c r="J25" s="4">
        <v>340739988</v>
      </c>
      <c r="L25">
        <f t="shared" si="0"/>
        <v>656108.77999448532</v>
      </c>
      <c r="M25">
        <f t="shared" si="1"/>
        <v>154086.80618335886</v>
      </c>
      <c r="N25">
        <f t="shared" si="2"/>
        <v>125772.43150207201</v>
      </c>
      <c r="O25">
        <f t="shared" si="3"/>
        <v>12846.571221002239</v>
      </c>
      <c r="P25">
        <f t="shared" si="7"/>
        <v>1211.1940069527138</v>
      </c>
      <c r="Q25">
        <f t="shared" si="6"/>
        <v>0</v>
      </c>
      <c r="R25">
        <f t="shared" si="4"/>
        <v>950025.78290787118</v>
      </c>
      <c r="S25" s="6">
        <f t="shared" si="5"/>
        <v>-0.2645811166947809</v>
      </c>
      <c r="U25" s="5">
        <v>0.85</v>
      </c>
      <c r="V25" s="5">
        <v>0.02</v>
      </c>
      <c r="W25" t="s">
        <v>29</v>
      </c>
      <c r="X25" s="5">
        <v>0.95</v>
      </c>
      <c r="Y25" t="s">
        <v>29</v>
      </c>
      <c r="Z25" t="s">
        <v>29</v>
      </c>
    </row>
    <row r="26" spans="1:26" x14ac:dyDescent="0.2">
      <c r="A26" s="2">
        <v>2041</v>
      </c>
      <c r="B26" s="1">
        <v>12.5</v>
      </c>
      <c r="C26" s="4">
        <v>215167593</v>
      </c>
      <c r="D26" s="4">
        <v>63388687</v>
      </c>
      <c r="E26" s="4">
        <v>44769712</v>
      </c>
      <c r="F26" s="4">
        <v>10430353</v>
      </c>
      <c r="G26" s="4">
        <v>3296020</v>
      </c>
      <c r="H26" s="4">
        <v>255230</v>
      </c>
      <c r="J26" s="4">
        <v>343404925</v>
      </c>
      <c r="L26">
        <f t="shared" si="0"/>
        <v>649651.99063008372</v>
      </c>
      <c r="M26">
        <f t="shared" si="1"/>
        <v>155291.92489977664</v>
      </c>
      <c r="N26">
        <f t="shared" si="2"/>
        <v>133093.906937472</v>
      </c>
      <c r="O26">
        <f t="shared" si="3"/>
        <v>15536.454099723065</v>
      </c>
      <c r="P26">
        <f t="shared" si="7"/>
        <v>1525.8337352781843</v>
      </c>
      <c r="Q26">
        <f t="shared" si="6"/>
        <v>0</v>
      </c>
      <c r="R26">
        <f t="shared" si="4"/>
        <v>955100.11030233372</v>
      </c>
      <c r="S26" s="6">
        <f t="shared" si="5"/>
        <v>-0.27133556348813337</v>
      </c>
      <c r="U26" s="5">
        <v>0.85</v>
      </c>
      <c r="V26" s="5">
        <v>0.02</v>
      </c>
      <c r="W26" t="s">
        <v>29</v>
      </c>
      <c r="X26" s="5">
        <v>0.95</v>
      </c>
      <c r="Y26" t="s">
        <v>29</v>
      </c>
      <c r="Z26" t="s">
        <v>29</v>
      </c>
    </row>
    <row r="27" spans="1:26" x14ac:dyDescent="0.2">
      <c r="A27" s="2">
        <v>2042</v>
      </c>
      <c r="B27" s="1">
        <v>12.6</v>
      </c>
      <c r="C27" s="4">
        <v>212824675</v>
      </c>
      <c r="D27" s="4">
        <v>63958534</v>
      </c>
      <c r="E27" s="4">
        <v>47430789</v>
      </c>
      <c r="F27" s="4">
        <v>12628942</v>
      </c>
      <c r="G27" s="4">
        <v>4157063</v>
      </c>
      <c r="H27" s="4">
        <v>309030</v>
      </c>
      <c r="J27" s="4">
        <v>346492042</v>
      </c>
      <c r="L27">
        <f t="shared" si="0"/>
        <v>642578.05667301686</v>
      </c>
      <c r="M27">
        <f t="shared" si="1"/>
        <v>156687.95693193347</v>
      </c>
      <c r="N27">
        <f t="shared" si="2"/>
        <v>141004.90566338401</v>
      </c>
      <c r="O27">
        <f t="shared" si="3"/>
        <v>18811.34585867466</v>
      </c>
      <c r="P27">
        <f t="shared" si="7"/>
        <v>1924.4382513081644</v>
      </c>
      <c r="Q27">
        <f t="shared" si="6"/>
        <v>0</v>
      </c>
      <c r="R27">
        <f t="shared" si="4"/>
        <v>961006.70337831718</v>
      </c>
      <c r="S27" s="6">
        <f t="shared" si="5"/>
        <v>-0.27919784070446996</v>
      </c>
      <c r="U27" s="5">
        <v>0.85</v>
      </c>
      <c r="V27" s="5">
        <v>0.02</v>
      </c>
      <c r="W27" t="s">
        <v>29</v>
      </c>
      <c r="X27" s="5">
        <v>0.95</v>
      </c>
      <c r="Y27" t="s">
        <v>29</v>
      </c>
      <c r="Z27" t="s">
        <v>29</v>
      </c>
    </row>
    <row r="28" spans="1:26" x14ac:dyDescent="0.2">
      <c r="A28" s="2">
        <v>2043</v>
      </c>
      <c r="B28" s="1">
        <v>12.7</v>
      </c>
      <c r="C28" s="4">
        <v>209307092</v>
      </c>
      <c r="D28" s="4">
        <v>64336543</v>
      </c>
      <c r="E28" s="4">
        <v>50096671</v>
      </c>
      <c r="F28" s="4">
        <v>15244299</v>
      </c>
      <c r="G28" s="4">
        <v>5227040</v>
      </c>
      <c r="H28" s="4">
        <v>373028</v>
      </c>
      <c r="J28" s="4">
        <v>348539888</v>
      </c>
      <c r="L28">
        <f t="shared" si="0"/>
        <v>631957.47591410787</v>
      </c>
      <c r="M28">
        <f t="shared" si="1"/>
        <v>157614.01721204998</v>
      </c>
      <c r="N28">
        <f t="shared" si="2"/>
        <v>148930.18896237601</v>
      </c>
      <c r="O28">
        <f t="shared" si="3"/>
        <v>22707.031266914379</v>
      </c>
      <c r="P28">
        <f t="shared" si="7"/>
        <v>2419.7650401540286</v>
      </c>
      <c r="Q28">
        <f t="shared" si="6"/>
        <v>0</v>
      </c>
      <c r="R28">
        <f t="shared" si="4"/>
        <v>963628.4783956022</v>
      </c>
      <c r="S28" s="6">
        <f t="shared" si="5"/>
        <v>-0.28268769038932029</v>
      </c>
      <c r="U28" s="5">
        <v>0.85</v>
      </c>
      <c r="V28" s="5">
        <v>0.02</v>
      </c>
      <c r="W28" t="s">
        <v>29</v>
      </c>
      <c r="X28" s="5">
        <v>0.95</v>
      </c>
      <c r="Y28" t="s">
        <v>29</v>
      </c>
      <c r="Z28" t="s">
        <v>29</v>
      </c>
    </row>
    <row r="29" spans="1:26" x14ac:dyDescent="0.2">
      <c r="A29" s="2">
        <v>2044</v>
      </c>
      <c r="B29" s="1">
        <v>12.8</v>
      </c>
      <c r="C29" s="4">
        <v>205632808</v>
      </c>
      <c r="D29" s="4">
        <v>64857957</v>
      </c>
      <c r="E29" s="4">
        <v>53027812</v>
      </c>
      <c r="F29" s="4">
        <v>18441415</v>
      </c>
      <c r="G29" s="4">
        <v>6586753</v>
      </c>
      <c r="H29" s="4">
        <v>451261</v>
      </c>
      <c r="J29" s="4">
        <v>351364619</v>
      </c>
      <c r="L29">
        <f t="shared" si="0"/>
        <v>620863.77039154689</v>
      </c>
      <c r="M29">
        <f t="shared" si="1"/>
        <v>158891.39630857069</v>
      </c>
      <c r="N29">
        <f t="shared" si="2"/>
        <v>157644.04907107202</v>
      </c>
      <c r="O29">
        <f t="shared" si="3"/>
        <v>27469.27143131632</v>
      </c>
      <c r="P29">
        <f t="shared" si="7"/>
        <v>3049.2199481024959</v>
      </c>
      <c r="Q29">
        <f t="shared" si="6"/>
        <v>0</v>
      </c>
      <c r="R29">
        <f t="shared" si="4"/>
        <v>967917.7071506083</v>
      </c>
      <c r="S29" s="6">
        <f t="shared" si="5"/>
        <v>-0.28839709089860199</v>
      </c>
      <c r="U29" s="5">
        <v>0.85</v>
      </c>
      <c r="V29" s="5">
        <v>0.02</v>
      </c>
      <c r="W29" t="s">
        <v>29</v>
      </c>
      <c r="X29" s="5">
        <v>0.95</v>
      </c>
      <c r="Y29" t="s">
        <v>29</v>
      </c>
      <c r="Z29" t="s">
        <v>29</v>
      </c>
    </row>
    <row r="30" spans="1:26" x14ac:dyDescent="0.2">
      <c r="A30" s="2">
        <v>2045</v>
      </c>
      <c r="B30" s="1">
        <v>12.9</v>
      </c>
      <c r="C30" s="4">
        <v>201484133</v>
      </c>
      <c r="D30" s="4">
        <v>65466950</v>
      </c>
      <c r="E30" s="4">
        <v>56202011</v>
      </c>
      <c r="F30" s="4">
        <v>22337488</v>
      </c>
      <c r="G30" s="4">
        <v>8310751</v>
      </c>
      <c r="H30" s="4">
        <v>546598</v>
      </c>
      <c r="J30" s="4">
        <v>354663809</v>
      </c>
      <c r="L30">
        <f t="shared" si="0"/>
        <v>608337.74388983648</v>
      </c>
      <c r="M30">
        <f t="shared" si="1"/>
        <v>160383.3296439384</v>
      </c>
      <c r="N30">
        <f t="shared" si="2"/>
        <v>167080.48561341601</v>
      </c>
      <c r="O30">
        <f t="shared" si="3"/>
        <v>33272.637753977717</v>
      </c>
      <c r="P30">
        <f t="shared" si="7"/>
        <v>3847.3141064972019</v>
      </c>
      <c r="Q30">
        <f t="shared" si="6"/>
        <v>0</v>
      </c>
      <c r="R30">
        <f t="shared" si="4"/>
        <v>972921.51100766566</v>
      </c>
      <c r="S30" s="6">
        <f t="shared" si="5"/>
        <v>-0.29505766367791253</v>
      </c>
      <c r="U30" s="5">
        <v>0.85</v>
      </c>
      <c r="V30" s="5">
        <v>0.02</v>
      </c>
      <c r="W30" t="s">
        <v>29</v>
      </c>
      <c r="X30" s="5">
        <v>0.95</v>
      </c>
      <c r="Y30" t="s">
        <v>29</v>
      </c>
      <c r="Z30" t="s">
        <v>29</v>
      </c>
    </row>
    <row r="31" spans="1:26" x14ac:dyDescent="0.2">
      <c r="A31" s="2">
        <v>2046</v>
      </c>
      <c r="B31" s="1">
        <v>13</v>
      </c>
      <c r="C31" s="4">
        <v>196361489</v>
      </c>
      <c r="D31" s="4">
        <v>66049493</v>
      </c>
      <c r="E31" s="4">
        <v>59537217</v>
      </c>
      <c r="F31" s="4">
        <v>27043504</v>
      </c>
      <c r="G31" s="4">
        <v>10480878</v>
      </c>
      <c r="H31" s="4">
        <v>661754</v>
      </c>
      <c r="J31" s="4">
        <v>357819704</v>
      </c>
      <c r="L31">
        <f t="shared" si="0"/>
        <v>592871.02873311087</v>
      </c>
      <c r="M31">
        <f t="shared" si="1"/>
        <v>161810.46480146094</v>
      </c>
      <c r="N31">
        <f t="shared" si="2"/>
        <v>176995.57278175201</v>
      </c>
      <c r="O31">
        <f t="shared" si="3"/>
        <v>40282.448598976189</v>
      </c>
      <c r="P31">
        <f t="shared" si="7"/>
        <v>4851.9357369600148</v>
      </c>
      <c r="Q31">
        <f t="shared" si="6"/>
        <v>0</v>
      </c>
      <c r="R31">
        <f t="shared" si="4"/>
        <v>976811.4506522601</v>
      </c>
      <c r="S31" s="6">
        <f t="shared" si="5"/>
        <v>-0.30023556969703113</v>
      </c>
      <c r="U31" s="5">
        <v>0.85</v>
      </c>
      <c r="V31" s="5">
        <v>0.02</v>
      </c>
      <c r="W31" t="s">
        <v>29</v>
      </c>
      <c r="X31" s="5">
        <v>0.95</v>
      </c>
      <c r="Y31" t="s">
        <v>29</v>
      </c>
      <c r="Z31" t="s">
        <v>29</v>
      </c>
    </row>
    <row r="32" spans="1:26" x14ac:dyDescent="0.2">
      <c r="A32" s="2">
        <v>2047</v>
      </c>
      <c r="B32" s="1">
        <v>13.1</v>
      </c>
      <c r="C32" s="4">
        <v>189882965</v>
      </c>
      <c r="D32" s="4">
        <v>66526253</v>
      </c>
      <c r="E32" s="4">
        <v>62965319</v>
      </c>
      <c r="F32" s="4">
        <v>32686452</v>
      </c>
      <c r="G32" s="4">
        <v>13195664</v>
      </c>
      <c r="H32" s="4">
        <v>799837</v>
      </c>
      <c r="J32" s="4">
        <v>360402528</v>
      </c>
      <c r="L32">
        <f t="shared" si="0"/>
        <v>573310.52729205613</v>
      </c>
      <c r="M32">
        <f t="shared" si="1"/>
        <v>162978.44889482475</v>
      </c>
      <c r="N32">
        <f t="shared" si="2"/>
        <v>187186.82638106399</v>
      </c>
      <c r="O32">
        <f t="shared" si="3"/>
        <v>48687.859479041719</v>
      </c>
      <c r="P32">
        <f t="shared" si="7"/>
        <v>6108.6975475257632</v>
      </c>
      <c r="Q32">
        <f t="shared" si="6"/>
        <v>0</v>
      </c>
      <c r="R32">
        <f t="shared" si="4"/>
        <v>978272.35959451238</v>
      </c>
      <c r="S32" s="6">
        <f t="shared" si="5"/>
        <v>-0.30218018835351446</v>
      </c>
      <c r="U32" s="5">
        <v>0.85</v>
      </c>
      <c r="V32" s="5">
        <v>0.02</v>
      </c>
      <c r="W32" t="s">
        <v>29</v>
      </c>
      <c r="X32" s="5">
        <v>0.95</v>
      </c>
      <c r="Y32" t="s">
        <v>29</v>
      </c>
      <c r="Z32" t="s">
        <v>29</v>
      </c>
    </row>
    <row r="33" spans="1:26" x14ac:dyDescent="0.2">
      <c r="A33" s="2">
        <v>2048</v>
      </c>
      <c r="B33" s="1">
        <v>13.2</v>
      </c>
      <c r="C33" s="4">
        <v>182355034</v>
      </c>
      <c r="D33" s="4">
        <v>67067335</v>
      </c>
      <c r="E33" s="4">
        <v>66651310</v>
      </c>
      <c r="F33" s="4">
        <v>39542763</v>
      </c>
      <c r="G33" s="4">
        <v>16628736</v>
      </c>
      <c r="H33" s="4">
        <v>967610</v>
      </c>
      <c r="J33" s="4">
        <v>363333810</v>
      </c>
      <c r="L33">
        <f t="shared" si="0"/>
        <v>550581.56847772433</v>
      </c>
      <c r="M33">
        <f t="shared" si="1"/>
        <v>164304.01137742703</v>
      </c>
      <c r="N33">
        <f t="shared" si="2"/>
        <v>198144.74684136003</v>
      </c>
      <c r="O33">
        <f t="shared" si="3"/>
        <v>58900.626117421685</v>
      </c>
      <c r="P33">
        <f t="shared" si="7"/>
        <v>7697.9770644094433</v>
      </c>
      <c r="Q33">
        <f t="shared" si="6"/>
        <v>0</v>
      </c>
      <c r="R33">
        <f t="shared" si="4"/>
        <v>979628.92987834243</v>
      </c>
      <c r="S33" s="6">
        <f t="shared" si="5"/>
        <v>-0.30398592162440519</v>
      </c>
      <c r="U33" s="5">
        <v>0.85</v>
      </c>
      <c r="V33" s="5">
        <v>0.02</v>
      </c>
      <c r="W33" t="s">
        <v>29</v>
      </c>
      <c r="X33" s="5">
        <v>0.95</v>
      </c>
      <c r="Y33" t="s">
        <v>29</v>
      </c>
      <c r="Z33" t="s">
        <v>29</v>
      </c>
    </row>
    <row r="34" spans="1:26" x14ac:dyDescent="0.2">
      <c r="A34" s="2">
        <v>2049</v>
      </c>
      <c r="B34" s="1">
        <v>13.4</v>
      </c>
      <c r="C34" s="4">
        <v>173471489</v>
      </c>
      <c r="D34" s="4">
        <v>67656931</v>
      </c>
      <c r="E34" s="4">
        <v>70599112</v>
      </c>
      <c r="F34" s="4">
        <v>47868465</v>
      </c>
      <c r="G34" s="4">
        <v>20968651</v>
      </c>
      <c r="H34" s="4">
        <v>1171340</v>
      </c>
      <c r="J34" s="4">
        <v>366527919</v>
      </c>
      <c r="L34">
        <f t="shared" si="0"/>
        <v>523759.62650850811</v>
      </c>
      <c r="M34">
        <f t="shared" si="1"/>
        <v>165748.42523242938</v>
      </c>
      <c r="N34">
        <f t="shared" si="2"/>
        <v>209880.99370387202</v>
      </c>
      <c r="O34">
        <f t="shared" si="3"/>
        <v>71302.113101704235</v>
      </c>
      <c r="P34">
        <f t="shared" si="7"/>
        <v>9707.0633913248803</v>
      </c>
      <c r="Q34">
        <f t="shared" si="6"/>
        <v>0</v>
      </c>
      <c r="R34">
        <f t="shared" si="4"/>
        <v>980398.22193783871</v>
      </c>
      <c r="S34" s="6">
        <f t="shared" si="5"/>
        <v>-0.30500992773999136</v>
      </c>
      <c r="U34" s="5">
        <v>0.85</v>
      </c>
      <c r="V34" s="5">
        <v>0.02</v>
      </c>
      <c r="W34" t="s">
        <v>29</v>
      </c>
      <c r="X34" s="5">
        <v>0.95</v>
      </c>
      <c r="Y34" t="s">
        <v>29</v>
      </c>
      <c r="Z34" t="s">
        <v>29</v>
      </c>
    </row>
    <row r="35" spans="1:26" x14ac:dyDescent="0.2">
      <c r="A35" s="2">
        <v>2050</v>
      </c>
      <c r="B35" s="1">
        <v>13.5</v>
      </c>
      <c r="C35" s="4">
        <v>162713466</v>
      </c>
      <c r="D35" s="4">
        <v>68210642</v>
      </c>
      <c r="E35" s="4">
        <v>74735746</v>
      </c>
      <c r="F35" s="4">
        <v>57912270</v>
      </c>
      <c r="G35" s="4">
        <v>26425326</v>
      </c>
      <c r="H35" s="4">
        <v>1417112</v>
      </c>
      <c r="J35" s="4">
        <v>369527617</v>
      </c>
      <c r="L35">
        <f t="shared" si="0"/>
        <v>491278.10380450945</v>
      </c>
      <c r="M35">
        <f t="shared" si="1"/>
        <v>167104.9267013458</v>
      </c>
      <c r="N35">
        <f t="shared" si="2"/>
        <v>222178.61091057601</v>
      </c>
      <c r="O35">
        <f t="shared" si="3"/>
        <v>86262.787526536165</v>
      </c>
      <c r="P35">
        <f t="shared" si="7"/>
        <v>12233.133863424287</v>
      </c>
      <c r="Q35">
        <f t="shared" si="6"/>
        <v>0</v>
      </c>
      <c r="R35">
        <f t="shared" si="4"/>
        <v>979057.56280639162</v>
      </c>
      <c r="S35" s="6">
        <f t="shared" si="5"/>
        <v>-0.30322537383413506</v>
      </c>
      <c r="U35" s="5">
        <v>0.85</v>
      </c>
      <c r="V35" s="5">
        <v>0.02</v>
      </c>
      <c r="W35" t="s">
        <v>29</v>
      </c>
      <c r="X35" s="5">
        <v>0.95</v>
      </c>
      <c r="Y35" t="s">
        <v>29</v>
      </c>
      <c r="Z35" t="s">
        <v>29</v>
      </c>
    </row>
    <row r="36" spans="1:26" x14ac:dyDescent="0.2">
      <c r="A36" s="1"/>
      <c r="B36" s="1"/>
      <c r="C36" s="1"/>
      <c r="D36" s="1"/>
      <c r="E36" s="1"/>
      <c r="F36" s="1"/>
      <c r="G36" s="1"/>
      <c r="H36" s="1"/>
      <c r="J36" s="1"/>
    </row>
    <row r="37" spans="1:26" ht="22" x14ac:dyDescent="0.3">
      <c r="A37" s="9" t="s">
        <v>42</v>
      </c>
      <c r="B37" s="1"/>
      <c r="C37" s="1"/>
      <c r="D37" s="1"/>
      <c r="E37" s="1"/>
      <c r="F37" s="1"/>
      <c r="G37" s="1"/>
      <c r="H37" s="1"/>
      <c r="J37" s="1"/>
    </row>
    <row r="38" spans="1:26" x14ac:dyDescent="0.2">
      <c r="A38" s="1"/>
      <c r="B38" s="1"/>
      <c r="C38" s="1">
        <v>40.200000000000003</v>
      </c>
      <c r="D38" s="1">
        <v>42.7</v>
      </c>
      <c r="E38" s="1">
        <v>48</v>
      </c>
      <c r="F38" s="1">
        <v>19.899999999999999</v>
      </c>
      <c r="G38" s="1">
        <v>18.600000000000001</v>
      </c>
      <c r="H38" s="1">
        <v>120</v>
      </c>
      <c r="J38" s="1"/>
      <c r="L38" s="13" t="s">
        <v>38</v>
      </c>
      <c r="M38" s="13"/>
      <c r="N38" s="13"/>
      <c r="O38" s="13"/>
      <c r="P38" s="13"/>
      <c r="Q38" s="13"/>
      <c r="R38" s="13"/>
      <c r="S38" s="13"/>
      <c r="U38" s="13" t="s">
        <v>36</v>
      </c>
      <c r="V38" s="13"/>
      <c r="W38" s="13"/>
      <c r="X38" s="13"/>
      <c r="Y38" s="13"/>
      <c r="Z38" s="13"/>
    </row>
    <row r="39" spans="1:26" x14ac:dyDescent="0.2">
      <c r="A39" s="2" t="s">
        <v>0</v>
      </c>
      <c r="B39" s="3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J39" s="1" t="s">
        <v>15</v>
      </c>
      <c r="L39" s="1" t="s">
        <v>9</v>
      </c>
      <c r="M39" s="1" t="s">
        <v>10</v>
      </c>
      <c r="N39" s="1" t="s">
        <v>11</v>
      </c>
      <c r="O39" s="1" t="s">
        <v>12</v>
      </c>
      <c r="P39" s="1" t="s">
        <v>13</v>
      </c>
      <c r="Q39" s="1" t="s">
        <v>14</v>
      </c>
      <c r="R39" s="1" t="s">
        <v>28</v>
      </c>
      <c r="S39" s="1" t="s">
        <v>30</v>
      </c>
      <c r="U39" s="1" t="s">
        <v>9</v>
      </c>
      <c r="V39" s="1" t="s">
        <v>10</v>
      </c>
      <c r="W39" s="1" t="s">
        <v>11</v>
      </c>
      <c r="X39" s="1" t="s">
        <v>12</v>
      </c>
      <c r="Y39" s="1" t="s">
        <v>13</v>
      </c>
      <c r="Z39" s="1" t="s">
        <v>14</v>
      </c>
    </row>
    <row r="40" spans="1:26" x14ac:dyDescent="0.2">
      <c r="A40" s="2">
        <v>2019</v>
      </c>
      <c r="B40" s="1">
        <v>9.9</v>
      </c>
      <c r="C40" s="4">
        <v>196317426</v>
      </c>
      <c r="D40" s="4">
        <v>50567463</v>
      </c>
      <c r="E40" s="4">
        <v>11574174</v>
      </c>
      <c r="F40" s="4">
        <v>153689</v>
      </c>
      <c r="G40" s="1" t="s">
        <v>8</v>
      </c>
      <c r="H40" s="1" t="s">
        <v>8</v>
      </c>
      <c r="J40" s="7">
        <v>263925621</v>
      </c>
      <c r="L40">
        <f>(C40*U40*C$2*1000*$C$76+C40*(1-U40)*1000*C$2*$C$75)/1000000</f>
        <v>592737.99003864941</v>
      </c>
      <c r="M40">
        <f t="shared" ref="M40:M71" si="8">(D40*V40*D$2*1000*$H$76+D40*(1-V40)*1000*D$2*$H$75)/1000000</f>
        <v>123882.02119675133</v>
      </c>
      <c r="N40">
        <f t="shared" ref="N40:N71" si="9">(E40*E$2*1000*$I$75)/1000000</f>
        <v>34408.352620944002</v>
      </c>
      <c r="O40">
        <f t="shared" ref="O40:O71" si="10">(F40*X40*F$2*1000*$K$76+F40*(1-X40)*1000*F$2*$K$75)/1000000</f>
        <v>228.92629752150651</v>
      </c>
      <c r="P40" s="1" t="s">
        <v>8</v>
      </c>
      <c r="Q40" s="1" t="s">
        <v>8</v>
      </c>
      <c r="R40">
        <f>SUM(L40:Q40)</f>
        <v>751257.29015386628</v>
      </c>
      <c r="S40" t="s">
        <v>29</v>
      </c>
      <c r="U40" s="5">
        <v>0.85</v>
      </c>
      <c r="V40" s="5">
        <v>0.02</v>
      </c>
      <c r="W40" t="s">
        <v>29</v>
      </c>
      <c r="X40" s="5">
        <v>0.95</v>
      </c>
      <c r="Y40" t="s">
        <v>29</v>
      </c>
      <c r="Z40" t="s">
        <v>29</v>
      </c>
    </row>
    <row r="41" spans="1:26" x14ac:dyDescent="0.2">
      <c r="A41" s="2">
        <v>2020</v>
      </c>
      <c r="B41" s="1">
        <v>10.4</v>
      </c>
      <c r="C41" s="4">
        <v>198809774</v>
      </c>
      <c r="D41" s="4">
        <v>52244612</v>
      </c>
      <c r="E41" s="4">
        <v>12298869</v>
      </c>
      <c r="F41" s="4">
        <v>176122</v>
      </c>
      <c r="G41" s="1" t="s">
        <v>8</v>
      </c>
      <c r="H41" s="1" t="s">
        <v>8</v>
      </c>
      <c r="J41" s="7">
        <v>269075831</v>
      </c>
      <c r="L41">
        <f t="shared" ref="L41:L71" si="11">(C41*U41*C$2*1000*$D$76+C41*(1-U41)*1000*C$2*$D$75)/1000000</f>
        <v>600263.09554811567</v>
      </c>
      <c r="M41">
        <f t="shared" si="8"/>
        <v>127990.76218634991</v>
      </c>
      <c r="N41">
        <f t="shared" si="9"/>
        <v>36562.766499863996</v>
      </c>
      <c r="O41">
        <f t="shared" si="10"/>
        <v>262.34120445889278</v>
      </c>
      <c r="P41" s="1" t="s">
        <v>8</v>
      </c>
      <c r="Q41" s="1" t="s">
        <v>8</v>
      </c>
      <c r="R41">
        <f t="shared" ref="R41:R71" si="12">SUM(L41:Q41)</f>
        <v>765078.96543878852</v>
      </c>
      <c r="S41" s="6">
        <f>1-R41/$R$40</f>
        <v>-1.8398058116802396E-2</v>
      </c>
      <c r="U41" s="5">
        <v>0.85</v>
      </c>
      <c r="V41" s="5">
        <v>0.02</v>
      </c>
      <c r="W41" t="s">
        <v>29</v>
      </c>
      <c r="X41" s="5">
        <v>0.95</v>
      </c>
      <c r="Y41" t="s">
        <v>29</v>
      </c>
      <c r="Z41" t="s">
        <v>29</v>
      </c>
    </row>
    <row r="42" spans="1:26" x14ac:dyDescent="0.2">
      <c r="A42" s="2">
        <v>2021</v>
      </c>
      <c r="B42" s="1">
        <v>10.6</v>
      </c>
      <c r="C42" s="4">
        <v>204568676</v>
      </c>
      <c r="D42" s="4">
        <v>52515022</v>
      </c>
      <c r="E42" s="4">
        <v>13830180</v>
      </c>
      <c r="F42" s="4">
        <v>163472</v>
      </c>
      <c r="G42" s="1" t="s">
        <v>8</v>
      </c>
      <c r="H42" s="1" t="s">
        <v>8</v>
      </c>
      <c r="J42" s="4">
        <v>276944127</v>
      </c>
      <c r="L42">
        <f t="shared" si="11"/>
        <v>617650.85406686051</v>
      </c>
      <c r="M42">
        <f t="shared" si="8"/>
        <v>128653.22249905758</v>
      </c>
      <c r="N42">
        <f t="shared" si="9"/>
        <v>41115.133594080005</v>
      </c>
      <c r="O42">
        <f t="shared" si="10"/>
        <v>243.49849181422036</v>
      </c>
      <c r="P42" s="1" t="s">
        <v>8</v>
      </c>
      <c r="Q42" s="1" t="s">
        <v>8</v>
      </c>
      <c r="R42">
        <f t="shared" si="12"/>
        <v>787662.70865181228</v>
      </c>
      <c r="S42" s="6">
        <f t="shared" ref="S42:S71" si="13">1-R42/$R$40</f>
        <v>-4.845932142700371E-2</v>
      </c>
      <c r="U42" s="5">
        <v>0.85</v>
      </c>
      <c r="V42" s="5">
        <v>0.02</v>
      </c>
      <c r="W42" t="s">
        <v>29</v>
      </c>
      <c r="X42" s="5">
        <v>0.95</v>
      </c>
      <c r="Y42" t="s">
        <v>29</v>
      </c>
      <c r="Z42" t="s">
        <v>29</v>
      </c>
    </row>
    <row r="43" spans="1:26" x14ac:dyDescent="0.2">
      <c r="A43" s="2">
        <v>2022</v>
      </c>
      <c r="B43" s="1">
        <v>10.7</v>
      </c>
      <c r="C43" s="4">
        <v>207509604</v>
      </c>
      <c r="D43" s="4">
        <v>53007269</v>
      </c>
      <c r="E43" s="4">
        <v>14075107</v>
      </c>
      <c r="F43" s="4">
        <v>234457</v>
      </c>
      <c r="G43" s="1" t="s">
        <v>8</v>
      </c>
      <c r="H43" s="1" t="s">
        <v>8</v>
      </c>
      <c r="J43" s="4">
        <v>280735505</v>
      </c>
      <c r="L43">
        <f t="shared" si="11"/>
        <v>626530.34982577688</v>
      </c>
      <c r="M43">
        <f t="shared" si="8"/>
        <v>129859.14721171395</v>
      </c>
      <c r="N43">
        <f t="shared" si="9"/>
        <v>41843.266295592002</v>
      </c>
      <c r="O43">
        <f t="shared" si="10"/>
        <v>349.23366628711136</v>
      </c>
      <c r="P43" s="1" t="s">
        <v>8</v>
      </c>
      <c r="Q43" s="1" t="s">
        <v>8</v>
      </c>
      <c r="R43">
        <f t="shared" si="12"/>
        <v>798581.99699936993</v>
      </c>
      <c r="S43" s="6">
        <f t="shared" si="13"/>
        <v>-6.2994006801333047E-2</v>
      </c>
      <c r="U43" s="5">
        <v>0.85</v>
      </c>
      <c r="V43" s="5">
        <v>0.02</v>
      </c>
      <c r="W43" t="s">
        <v>29</v>
      </c>
      <c r="X43" s="5">
        <v>0.95</v>
      </c>
      <c r="Y43" t="s">
        <v>29</v>
      </c>
      <c r="Z43" t="s">
        <v>29</v>
      </c>
    </row>
    <row r="44" spans="1:26" x14ac:dyDescent="0.2">
      <c r="A44" s="2">
        <v>2023</v>
      </c>
      <c r="B44" s="1">
        <v>10.3</v>
      </c>
      <c r="C44" s="4">
        <v>209125640</v>
      </c>
      <c r="D44" s="4">
        <v>52258070</v>
      </c>
      <c r="E44" s="4">
        <v>15336227</v>
      </c>
      <c r="F44" s="4">
        <v>322982</v>
      </c>
      <c r="G44" s="1" t="s">
        <v>8</v>
      </c>
      <c r="H44" s="1" t="s">
        <v>8</v>
      </c>
      <c r="J44" s="4">
        <v>283105387</v>
      </c>
      <c r="L44">
        <f t="shared" si="11"/>
        <v>631409.62086140108</v>
      </c>
      <c r="M44">
        <f t="shared" si="8"/>
        <v>128023.73208719832</v>
      </c>
      <c r="N44">
        <f t="shared" si="9"/>
        <v>45592.394454312001</v>
      </c>
      <c r="O44">
        <f t="shared" si="10"/>
        <v>481.09541623727932</v>
      </c>
      <c r="P44" s="1" t="s">
        <v>8</v>
      </c>
      <c r="Q44" s="1" t="s">
        <v>8</v>
      </c>
      <c r="R44">
        <f t="shared" si="12"/>
        <v>805506.84281914867</v>
      </c>
      <c r="S44" s="6">
        <f t="shared" si="13"/>
        <v>-7.2211682171059444E-2</v>
      </c>
      <c r="U44" s="5">
        <v>0.85</v>
      </c>
      <c r="V44" s="5">
        <v>0.02</v>
      </c>
      <c r="W44" t="s">
        <v>29</v>
      </c>
      <c r="X44" s="5">
        <v>0.95</v>
      </c>
      <c r="Y44" t="s">
        <v>29</v>
      </c>
      <c r="Z44" t="s">
        <v>29</v>
      </c>
    </row>
    <row r="45" spans="1:26" x14ac:dyDescent="0.2">
      <c r="A45" s="2">
        <v>2024</v>
      </c>
      <c r="B45" s="1">
        <v>10.4</v>
      </c>
      <c r="C45" s="4">
        <v>214191682</v>
      </c>
      <c r="D45" s="4">
        <v>50202820</v>
      </c>
      <c r="E45" s="4">
        <v>15508496</v>
      </c>
      <c r="F45" s="4">
        <v>391932</v>
      </c>
      <c r="G45" s="4">
        <v>61875</v>
      </c>
      <c r="H45" s="4">
        <v>9591</v>
      </c>
      <c r="J45" s="4">
        <v>286285448</v>
      </c>
      <c r="L45">
        <f t="shared" si="11"/>
        <v>646705.43852626486</v>
      </c>
      <c r="M45">
        <f t="shared" si="8"/>
        <v>122988.70543251678</v>
      </c>
      <c r="N45">
        <f t="shared" si="9"/>
        <v>46104.525384576002</v>
      </c>
      <c r="O45">
        <f t="shared" si="10"/>
        <v>583.79937171950553</v>
      </c>
      <c r="P45">
        <f t="shared" ref="P45:P71" si="14">(G45*G$2*1000*$L$75)/1000000</f>
        <v>28.643928850655534</v>
      </c>
      <c r="Q45">
        <f t="shared" ref="Q45:Q71" si="15">H45*1000*H$2*$J$75/1000000</f>
        <v>0</v>
      </c>
      <c r="R45">
        <f t="shared" si="12"/>
        <v>816411.1126439278</v>
      </c>
      <c r="S45" s="6">
        <f t="shared" si="13"/>
        <v>-8.672637636130931E-2</v>
      </c>
      <c r="U45" s="5">
        <v>0.85</v>
      </c>
      <c r="V45" s="5">
        <v>0.02</v>
      </c>
      <c r="W45" t="s">
        <v>29</v>
      </c>
      <c r="X45" s="5">
        <v>0.95</v>
      </c>
      <c r="Y45" t="s">
        <v>29</v>
      </c>
      <c r="Z45" t="s">
        <v>29</v>
      </c>
    </row>
    <row r="46" spans="1:26" x14ac:dyDescent="0.2">
      <c r="A46" s="2">
        <v>2025</v>
      </c>
      <c r="B46" s="1">
        <v>10.6</v>
      </c>
      <c r="C46" s="4">
        <v>220538033</v>
      </c>
      <c r="D46" s="4">
        <v>48515066</v>
      </c>
      <c r="E46" s="4">
        <v>15775916</v>
      </c>
      <c r="F46" s="4">
        <v>478428</v>
      </c>
      <c r="G46" s="4">
        <v>86859</v>
      </c>
      <c r="H46" s="4">
        <v>12683</v>
      </c>
      <c r="J46" s="4">
        <v>291222001</v>
      </c>
      <c r="L46">
        <f t="shared" si="11"/>
        <v>665866.87219247315</v>
      </c>
      <c r="M46">
        <f t="shared" si="8"/>
        <v>118853.98392586531</v>
      </c>
      <c r="N46">
        <f t="shared" si="9"/>
        <v>46899.526536096004</v>
      </c>
      <c r="O46">
        <f t="shared" si="10"/>
        <v>712.63883993401816</v>
      </c>
      <c r="P46">
        <f t="shared" si="14"/>
        <v>40.209826521843866</v>
      </c>
      <c r="Q46">
        <f t="shared" si="15"/>
        <v>0</v>
      </c>
      <c r="R46">
        <f t="shared" si="12"/>
        <v>832373.23132089025</v>
      </c>
      <c r="S46" s="6">
        <f t="shared" si="13"/>
        <v>-0.10797358272611302</v>
      </c>
      <c r="U46" s="5">
        <v>0.85</v>
      </c>
      <c r="V46" s="5">
        <v>0.02</v>
      </c>
      <c r="W46" t="s">
        <v>29</v>
      </c>
      <c r="X46" s="5">
        <v>0.95</v>
      </c>
      <c r="Y46" t="s">
        <v>29</v>
      </c>
      <c r="Z46" t="s">
        <v>29</v>
      </c>
    </row>
    <row r="47" spans="1:26" x14ac:dyDescent="0.2">
      <c r="A47" s="2">
        <v>2026</v>
      </c>
      <c r="B47" s="1">
        <v>10.8</v>
      </c>
      <c r="C47" s="4">
        <v>226444170</v>
      </c>
      <c r="D47" s="4">
        <v>46792620</v>
      </c>
      <c r="E47" s="4">
        <v>16016651</v>
      </c>
      <c r="F47" s="4">
        <v>582875</v>
      </c>
      <c r="G47" s="4">
        <v>121695</v>
      </c>
      <c r="H47" s="4">
        <v>16739</v>
      </c>
      <c r="J47" s="4">
        <v>295665950</v>
      </c>
      <c r="L47">
        <f t="shared" si="11"/>
        <v>683699.17493605602</v>
      </c>
      <c r="M47">
        <f t="shared" si="8"/>
        <v>114634.27268818152</v>
      </c>
      <c r="N47">
        <f t="shared" si="9"/>
        <v>47615.197025256006</v>
      </c>
      <c r="O47">
        <f t="shared" si="10"/>
        <v>868.21708559394722</v>
      </c>
      <c r="P47">
        <f t="shared" si="14"/>
        <v>56.33653206433172</v>
      </c>
      <c r="Q47">
        <f t="shared" si="15"/>
        <v>0</v>
      </c>
      <c r="R47">
        <f t="shared" si="12"/>
        <v>846873.19826715183</v>
      </c>
      <c r="S47" s="6">
        <f t="shared" si="13"/>
        <v>-0.12727451615637864</v>
      </c>
      <c r="U47" s="5">
        <v>0.85</v>
      </c>
      <c r="V47" s="5">
        <v>0.02</v>
      </c>
      <c r="W47" t="s">
        <v>29</v>
      </c>
      <c r="X47" s="5">
        <v>0.95</v>
      </c>
      <c r="Y47" t="s">
        <v>29</v>
      </c>
      <c r="Z47" t="s">
        <v>29</v>
      </c>
    </row>
    <row r="48" spans="1:26" x14ac:dyDescent="0.2">
      <c r="A48" s="2">
        <v>2027</v>
      </c>
      <c r="B48" s="1">
        <v>10.9</v>
      </c>
      <c r="C48" s="4">
        <v>232112513</v>
      </c>
      <c r="D48" s="4">
        <v>45089631</v>
      </c>
      <c r="E48" s="4">
        <v>16246036</v>
      </c>
      <c r="F48" s="4">
        <v>709467</v>
      </c>
      <c r="G48" s="4">
        <v>170344</v>
      </c>
      <c r="H48" s="4">
        <v>22073</v>
      </c>
      <c r="J48" s="4">
        <v>299900385</v>
      </c>
      <c r="L48">
        <f t="shared" si="11"/>
        <v>700813.51014881313</v>
      </c>
      <c r="M48">
        <f t="shared" si="8"/>
        <v>110462.22792105857</v>
      </c>
      <c r="N48">
        <f t="shared" si="9"/>
        <v>48297.125598816005</v>
      </c>
      <c r="O48">
        <f t="shared" si="10"/>
        <v>1056.7812499508141</v>
      </c>
      <c r="P48">
        <f t="shared" si="14"/>
        <v>78.857719856744509</v>
      </c>
      <c r="Q48">
        <f t="shared" si="15"/>
        <v>0</v>
      </c>
      <c r="R48">
        <f t="shared" si="12"/>
        <v>860708.50263849518</v>
      </c>
      <c r="S48" s="6">
        <f t="shared" si="13"/>
        <v>-0.14569071597589689</v>
      </c>
      <c r="U48" s="5">
        <v>0.85</v>
      </c>
      <c r="V48" s="5">
        <v>0.02</v>
      </c>
      <c r="W48" t="s">
        <v>29</v>
      </c>
      <c r="X48" s="5">
        <v>0.95</v>
      </c>
      <c r="Y48" t="s">
        <v>29</v>
      </c>
      <c r="Z48" t="s">
        <v>29</v>
      </c>
    </row>
    <row r="49" spans="1:26" x14ac:dyDescent="0.2">
      <c r="A49" s="2">
        <v>2028</v>
      </c>
      <c r="B49" s="1">
        <v>11.1</v>
      </c>
      <c r="C49" s="4">
        <v>236962105</v>
      </c>
      <c r="D49" s="4">
        <v>43305715</v>
      </c>
      <c r="E49" s="4">
        <v>16424508</v>
      </c>
      <c r="F49" s="4">
        <v>860713</v>
      </c>
      <c r="G49" s="4">
        <v>237657</v>
      </c>
      <c r="H49" s="4">
        <v>29009</v>
      </c>
      <c r="J49" s="4">
        <v>303194945</v>
      </c>
      <c r="L49">
        <f t="shared" si="11"/>
        <v>715455.80387258832</v>
      </c>
      <c r="M49">
        <f t="shared" si="8"/>
        <v>106091.92522809521</v>
      </c>
      <c r="N49">
        <f t="shared" si="9"/>
        <v>48827.697154848</v>
      </c>
      <c r="O49">
        <f t="shared" si="10"/>
        <v>1282.0685951410214</v>
      </c>
      <c r="P49">
        <f t="shared" si="14"/>
        <v>110.01907392097361</v>
      </c>
      <c r="Q49">
        <f t="shared" si="15"/>
        <v>0</v>
      </c>
      <c r="R49">
        <f t="shared" si="12"/>
        <v>871767.51392459357</v>
      </c>
      <c r="S49" s="6">
        <f t="shared" si="13"/>
        <v>-0.16041138681801725</v>
      </c>
      <c r="U49" s="5">
        <v>0.85</v>
      </c>
      <c r="V49" s="5">
        <v>0.02</v>
      </c>
      <c r="W49" t="s">
        <v>29</v>
      </c>
      <c r="X49" s="5">
        <v>0.95</v>
      </c>
      <c r="Y49" t="s">
        <v>29</v>
      </c>
      <c r="Z49" t="s">
        <v>29</v>
      </c>
    </row>
    <row r="50" spans="1:26" x14ac:dyDescent="0.2">
      <c r="A50" s="2">
        <v>2029</v>
      </c>
      <c r="B50" s="1">
        <v>11.2</v>
      </c>
      <c r="C50" s="4">
        <v>242137195</v>
      </c>
      <c r="D50" s="4">
        <v>41661440</v>
      </c>
      <c r="E50" s="4">
        <v>16632511</v>
      </c>
      <c r="F50" s="4">
        <v>1045936</v>
      </c>
      <c r="G50" s="4">
        <v>332121</v>
      </c>
      <c r="H50" s="4">
        <v>38190</v>
      </c>
      <c r="J50" s="4">
        <v>307034667</v>
      </c>
      <c r="L50">
        <f t="shared" si="11"/>
        <v>731080.86837842152</v>
      </c>
      <c r="M50">
        <f t="shared" si="8"/>
        <v>102063.72016660561</v>
      </c>
      <c r="N50">
        <f t="shared" si="9"/>
        <v>49446.060121415998</v>
      </c>
      <c r="O50">
        <f t="shared" si="10"/>
        <v>1557.9661259065676</v>
      </c>
      <c r="P50">
        <f t="shared" si="14"/>
        <v>153.74949969791624</v>
      </c>
      <c r="Q50">
        <f t="shared" si="15"/>
        <v>0</v>
      </c>
      <c r="R50">
        <f t="shared" si="12"/>
        <v>884302.36429204769</v>
      </c>
      <c r="S50" s="6">
        <f t="shared" si="13"/>
        <v>-0.17709654985302326</v>
      </c>
      <c r="U50" s="5">
        <v>0.85</v>
      </c>
      <c r="V50" s="5">
        <v>0.02</v>
      </c>
      <c r="W50" t="s">
        <v>29</v>
      </c>
      <c r="X50" s="5">
        <v>0.95</v>
      </c>
      <c r="Y50" t="s">
        <v>29</v>
      </c>
      <c r="Z50" t="s">
        <v>29</v>
      </c>
    </row>
    <row r="51" spans="1:26" x14ac:dyDescent="0.2">
      <c r="A51" s="2">
        <v>2030</v>
      </c>
      <c r="B51" s="1">
        <v>11.3</v>
      </c>
      <c r="C51" s="4">
        <v>247061430</v>
      </c>
      <c r="D51" s="4">
        <v>40049730</v>
      </c>
      <c r="E51" s="4">
        <v>16830597</v>
      </c>
      <c r="F51" s="4">
        <v>1270071</v>
      </c>
      <c r="G51" s="4">
        <v>463785</v>
      </c>
      <c r="H51" s="4">
        <v>50238</v>
      </c>
      <c r="J51" s="4">
        <v>310691318</v>
      </c>
      <c r="L51">
        <f t="shared" si="11"/>
        <v>745948.53048997535</v>
      </c>
      <c r="M51">
        <f t="shared" si="8"/>
        <v>98115.294033718223</v>
      </c>
      <c r="N51">
        <f t="shared" si="9"/>
        <v>50034.941275032004</v>
      </c>
      <c r="O51">
        <f t="shared" si="10"/>
        <v>1891.8247344926269</v>
      </c>
      <c r="P51">
        <f t="shared" si="14"/>
        <v>214.70100269901053</v>
      </c>
      <c r="Q51">
        <f t="shared" si="15"/>
        <v>0</v>
      </c>
      <c r="R51">
        <f t="shared" si="12"/>
        <v>896205.29153591709</v>
      </c>
      <c r="S51" s="6">
        <f t="shared" si="13"/>
        <v>-0.19294055882288186</v>
      </c>
      <c r="U51" s="5">
        <v>0.85</v>
      </c>
      <c r="V51" s="5">
        <v>0.02</v>
      </c>
      <c r="W51" t="s">
        <v>29</v>
      </c>
      <c r="X51" s="5">
        <v>0.95</v>
      </c>
      <c r="Y51" t="s">
        <v>29</v>
      </c>
      <c r="Z51" t="s">
        <v>29</v>
      </c>
    </row>
    <row r="52" spans="1:26" x14ac:dyDescent="0.2">
      <c r="A52" s="2">
        <v>2031</v>
      </c>
      <c r="B52" s="1">
        <v>11.4</v>
      </c>
      <c r="C52" s="4">
        <v>251309015</v>
      </c>
      <c r="D52" s="4">
        <v>38409907</v>
      </c>
      <c r="E52" s="4">
        <v>16991025</v>
      </c>
      <c r="F52" s="4">
        <v>1538612</v>
      </c>
      <c r="G52" s="4">
        <v>646124</v>
      </c>
      <c r="H52" s="4">
        <v>65932</v>
      </c>
      <c r="J52" s="4">
        <v>313652805</v>
      </c>
      <c r="L52">
        <f t="shared" si="11"/>
        <v>758773.19433524355</v>
      </c>
      <c r="M52">
        <f t="shared" si="8"/>
        <v>94097.995644733979</v>
      </c>
      <c r="N52">
        <f t="shared" si="9"/>
        <v>50511.870617400004</v>
      </c>
      <c r="O52">
        <f t="shared" si="10"/>
        <v>2234.2846432572123</v>
      </c>
      <c r="P52">
        <f t="shared" si="14"/>
        <v>299.11159409617704</v>
      </c>
      <c r="Q52">
        <f t="shared" si="15"/>
        <v>0</v>
      </c>
      <c r="R52">
        <f t="shared" si="12"/>
        <v>905916.45683473104</v>
      </c>
      <c r="S52" s="6">
        <f t="shared" si="13"/>
        <v>-0.20586710932174612</v>
      </c>
      <c r="U52" s="5">
        <v>0.85</v>
      </c>
      <c r="V52" s="5">
        <v>0.02</v>
      </c>
      <c r="W52" t="s">
        <v>29</v>
      </c>
      <c r="X52" s="5">
        <v>0.85</v>
      </c>
      <c r="Y52" t="s">
        <v>29</v>
      </c>
      <c r="Z52" t="s">
        <v>29</v>
      </c>
    </row>
    <row r="53" spans="1:26" x14ac:dyDescent="0.2">
      <c r="A53" s="2">
        <v>2032</v>
      </c>
      <c r="B53" s="1">
        <v>11.5</v>
      </c>
      <c r="C53" s="4">
        <v>255162821</v>
      </c>
      <c r="D53" s="4">
        <v>36797862</v>
      </c>
      <c r="E53" s="4">
        <v>17134653</v>
      </c>
      <c r="F53" s="4">
        <v>1861942</v>
      </c>
      <c r="G53" s="4">
        <v>899188</v>
      </c>
      <c r="H53" s="4">
        <v>86436</v>
      </c>
      <c r="J53" s="4">
        <v>316304164</v>
      </c>
      <c r="L53">
        <f t="shared" si="11"/>
        <v>770408.92769311101</v>
      </c>
      <c r="M53">
        <f t="shared" si="8"/>
        <v>90148.748816588428</v>
      </c>
      <c r="N53">
        <f t="shared" si="9"/>
        <v>50938.855978968</v>
      </c>
      <c r="O53">
        <f t="shared" si="10"/>
        <v>2703.806038972542</v>
      </c>
      <c r="P53">
        <f t="shared" si="14"/>
        <v>416.26306416748685</v>
      </c>
      <c r="Q53">
        <f t="shared" si="15"/>
        <v>0</v>
      </c>
      <c r="R53">
        <f t="shared" si="12"/>
        <v>914616.60159180744</v>
      </c>
      <c r="S53" s="6">
        <f t="shared" si="13"/>
        <v>-0.21744788846506014</v>
      </c>
      <c r="U53" s="5">
        <v>0.85</v>
      </c>
      <c r="V53" s="5">
        <v>0.02</v>
      </c>
      <c r="W53" t="s">
        <v>29</v>
      </c>
      <c r="X53" s="5">
        <v>0.85</v>
      </c>
      <c r="Y53" t="s">
        <v>29</v>
      </c>
      <c r="Z53" t="s">
        <v>29</v>
      </c>
    </row>
    <row r="54" spans="1:26" x14ac:dyDescent="0.2">
      <c r="A54" s="2">
        <v>2033</v>
      </c>
      <c r="B54" s="1">
        <v>11.6</v>
      </c>
      <c r="C54" s="4">
        <v>259041323</v>
      </c>
      <c r="D54" s="4">
        <v>35277188</v>
      </c>
      <c r="E54" s="4">
        <v>17291118</v>
      </c>
      <c r="F54" s="4">
        <v>2254733</v>
      </c>
      <c r="G54" s="4">
        <v>1252211</v>
      </c>
      <c r="H54" s="4">
        <v>113393</v>
      </c>
      <c r="J54" s="4">
        <v>319192495</v>
      </c>
      <c r="L54">
        <f t="shared" si="11"/>
        <v>782119.22527943354</v>
      </c>
      <c r="M54">
        <f t="shared" si="8"/>
        <v>86423.346007644897</v>
      </c>
      <c r="N54">
        <f t="shared" si="9"/>
        <v>51404.003893008005</v>
      </c>
      <c r="O54">
        <f t="shared" si="10"/>
        <v>3274.1947395088982</v>
      </c>
      <c r="P54">
        <f t="shared" si="14"/>
        <v>579.6887723637692</v>
      </c>
      <c r="Q54">
        <f t="shared" si="15"/>
        <v>0</v>
      </c>
      <c r="R54">
        <f t="shared" si="12"/>
        <v>923800.45869195915</v>
      </c>
      <c r="S54" s="6">
        <f t="shared" si="13"/>
        <v>-0.22967253802323029</v>
      </c>
      <c r="U54" s="5">
        <v>0.85</v>
      </c>
      <c r="V54" s="5">
        <v>0.02</v>
      </c>
      <c r="W54" t="s">
        <v>29</v>
      </c>
      <c r="X54" s="5">
        <v>0.85</v>
      </c>
      <c r="Y54" t="s">
        <v>29</v>
      </c>
      <c r="Z54" t="s">
        <v>29</v>
      </c>
    </row>
    <row r="55" spans="1:26" x14ac:dyDescent="0.2">
      <c r="A55" s="2">
        <v>2034</v>
      </c>
      <c r="B55" s="1">
        <v>11.8</v>
      </c>
      <c r="C55" s="4">
        <v>263110462</v>
      </c>
      <c r="D55" s="4">
        <v>33866073</v>
      </c>
      <c r="E55" s="4">
        <v>17473116</v>
      </c>
      <c r="F55" s="4">
        <v>2734159</v>
      </c>
      <c r="G55" s="4">
        <v>1746240</v>
      </c>
      <c r="H55" s="4">
        <v>148963</v>
      </c>
      <c r="J55" s="4">
        <v>322552160</v>
      </c>
      <c r="L55">
        <f t="shared" si="11"/>
        <v>794405.11003857828</v>
      </c>
      <c r="M55">
        <f t="shared" si="8"/>
        <v>82966.344845829561</v>
      </c>
      <c r="N55">
        <f t="shared" si="9"/>
        <v>51945.057739296004</v>
      </c>
      <c r="O55">
        <f t="shared" si="10"/>
        <v>3970.3898487230672</v>
      </c>
      <c r="P55">
        <f t="shared" si="14"/>
        <v>808.39069601888843</v>
      </c>
      <c r="Q55">
        <f t="shared" si="15"/>
        <v>0</v>
      </c>
      <c r="R55">
        <f t="shared" si="12"/>
        <v>934095.29316844582</v>
      </c>
      <c r="S55" s="6">
        <f t="shared" si="13"/>
        <v>-0.24337601166856193</v>
      </c>
      <c r="U55" s="5">
        <v>0.85</v>
      </c>
      <c r="V55" s="5">
        <v>0.02</v>
      </c>
      <c r="W55" t="s">
        <v>29</v>
      </c>
      <c r="X55" s="5">
        <v>0.85</v>
      </c>
      <c r="Y55" t="s">
        <v>29</v>
      </c>
      <c r="Z55" t="s">
        <v>29</v>
      </c>
    </row>
    <row r="56" spans="1:26" x14ac:dyDescent="0.2">
      <c r="A56" s="2">
        <v>2035</v>
      </c>
      <c r="B56" s="1">
        <v>11.8</v>
      </c>
      <c r="C56" s="4">
        <v>266304541</v>
      </c>
      <c r="D56" s="4">
        <v>32429300</v>
      </c>
      <c r="E56" s="4">
        <v>17612438</v>
      </c>
      <c r="F56" s="4">
        <v>3307151</v>
      </c>
      <c r="G56" s="4">
        <v>2429026</v>
      </c>
      <c r="H56" s="4">
        <v>195196</v>
      </c>
      <c r="J56" s="4">
        <v>325124040</v>
      </c>
      <c r="L56">
        <f t="shared" si="11"/>
        <v>804048.94046698185</v>
      </c>
      <c r="M56">
        <f t="shared" si="8"/>
        <v>79446.485776749512</v>
      </c>
      <c r="N56">
        <f t="shared" si="9"/>
        <v>52359.241982928004</v>
      </c>
      <c r="O56">
        <f t="shared" si="10"/>
        <v>4802.4561697378758</v>
      </c>
      <c r="P56">
        <f t="shared" si="14"/>
        <v>1124.4743098245237</v>
      </c>
      <c r="Q56">
        <f t="shared" si="15"/>
        <v>0</v>
      </c>
      <c r="R56">
        <f t="shared" si="12"/>
        <v>941781.59870622179</v>
      </c>
      <c r="S56" s="6">
        <f t="shared" si="13"/>
        <v>-0.25360726750928952</v>
      </c>
      <c r="U56" s="5">
        <v>0.85</v>
      </c>
      <c r="V56" s="5">
        <v>0.02</v>
      </c>
      <c r="W56" t="s">
        <v>29</v>
      </c>
      <c r="X56" s="5">
        <v>0.85</v>
      </c>
      <c r="Y56" t="s">
        <v>29</v>
      </c>
      <c r="Z56" t="s">
        <v>29</v>
      </c>
    </row>
    <row r="57" spans="1:26" x14ac:dyDescent="0.2">
      <c r="A57" s="2">
        <v>2036</v>
      </c>
      <c r="B57" s="1">
        <v>12</v>
      </c>
      <c r="C57" s="4">
        <v>269642799</v>
      </c>
      <c r="D57" s="4">
        <v>31101413</v>
      </c>
      <c r="E57" s="4">
        <v>17780273</v>
      </c>
      <c r="F57" s="4">
        <v>4006400</v>
      </c>
      <c r="G57" s="4">
        <v>3383999</v>
      </c>
      <c r="H57" s="4">
        <v>256173</v>
      </c>
      <c r="J57" s="4">
        <v>328222249</v>
      </c>
      <c r="L57">
        <f t="shared" si="11"/>
        <v>814128.08818945882</v>
      </c>
      <c r="M57">
        <f t="shared" si="8"/>
        <v>76193.379614771591</v>
      </c>
      <c r="N57">
        <f t="shared" si="9"/>
        <v>52858.191269688003</v>
      </c>
      <c r="O57">
        <f t="shared" si="10"/>
        <v>5817.865709318331</v>
      </c>
      <c r="P57">
        <f t="shared" si="14"/>
        <v>1566.5620458454866</v>
      </c>
      <c r="Q57">
        <f t="shared" si="15"/>
        <v>0</v>
      </c>
      <c r="R57">
        <f t="shared" si="12"/>
        <v>950564.08682908211</v>
      </c>
      <c r="S57" s="6">
        <f t="shared" si="13"/>
        <v>-0.2652976540625589</v>
      </c>
      <c r="U57" s="5">
        <v>0.85</v>
      </c>
      <c r="V57" s="5">
        <v>0.02</v>
      </c>
      <c r="W57" t="s">
        <v>29</v>
      </c>
      <c r="X57" s="5">
        <v>0.85</v>
      </c>
      <c r="Y57" t="s">
        <v>29</v>
      </c>
      <c r="Z57" t="s">
        <v>29</v>
      </c>
    </row>
    <row r="58" spans="1:26" x14ac:dyDescent="0.2">
      <c r="A58" s="2">
        <v>2037</v>
      </c>
      <c r="B58" s="1">
        <v>12.1</v>
      </c>
      <c r="C58" s="4">
        <v>272533875</v>
      </c>
      <c r="D58" s="4">
        <v>29815506</v>
      </c>
      <c r="E58" s="4">
        <v>17942249</v>
      </c>
      <c r="F58" s="4">
        <v>4851477</v>
      </c>
      <c r="G58" s="4">
        <v>4712460</v>
      </c>
      <c r="H58" s="4">
        <v>336058</v>
      </c>
      <c r="J58" s="4">
        <v>331212313</v>
      </c>
      <c r="L58">
        <f t="shared" si="11"/>
        <v>822857.06662099634</v>
      </c>
      <c r="M58">
        <f t="shared" si="8"/>
        <v>73043.117592904862</v>
      </c>
      <c r="N58">
        <f t="shared" si="9"/>
        <v>53339.722593144004</v>
      </c>
      <c r="O58">
        <f t="shared" si="10"/>
        <v>7045.0383580886992</v>
      </c>
      <c r="P58">
        <f t="shared" si="14"/>
        <v>2181.5493971969322</v>
      </c>
      <c r="Q58">
        <f t="shared" si="15"/>
        <v>0</v>
      </c>
      <c r="R58">
        <f t="shared" si="12"/>
        <v>958466.49456233089</v>
      </c>
      <c r="S58" s="6">
        <f t="shared" si="13"/>
        <v>-0.27581656394445875</v>
      </c>
      <c r="U58" s="5">
        <v>0.85</v>
      </c>
      <c r="V58" s="5">
        <v>0.02</v>
      </c>
      <c r="W58" t="s">
        <v>29</v>
      </c>
      <c r="X58" s="5">
        <v>0.85</v>
      </c>
      <c r="Y58" t="s">
        <v>29</v>
      </c>
      <c r="Z58" t="s">
        <v>29</v>
      </c>
    </row>
    <row r="59" spans="1:26" x14ac:dyDescent="0.2">
      <c r="A59" s="2">
        <v>2038</v>
      </c>
      <c r="B59" s="1">
        <v>12.2</v>
      </c>
      <c r="C59" s="4">
        <v>275298945</v>
      </c>
      <c r="D59" s="4">
        <v>28614872</v>
      </c>
      <c r="E59" s="4">
        <v>18126038</v>
      </c>
      <c r="F59" s="4">
        <v>5881407</v>
      </c>
      <c r="G59" s="4">
        <v>6569810</v>
      </c>
      <c r="H59" s="4">
        <v>441351</v>
      </c>
      <c r="J59" s="4">
        <v>334605051</v>
      </c>
      <c r="L59">
        <f t="shared" si="11"/>
        <v>831205.59719981614</v>
      </c>
      <c r="M59">
        <f t="shared" si="8"/>
        <v>70101.76048670517</v>
      </c>
      <c r="N59">
        <f t="shared" si="9"/>
        <v>53886.100824528003</v>
      </c>
      <c r="O59">
        <f t="shared" si="10"/>
        <v>8540.6439965666941</v>
      </c>
      <c r="P59">
        <f t="shared" si="14"/>
        <v>3041.3764881183884</v>
      </c>
      <c r="Q59">
        <f t="shared" si="15"/>
        <v>0</v>
      </c>
      <c r="R59">
        <f t="shared" si="12"/>
        <v>966775.47899573436</v>
      </c>
      <c r="S59" s="6">
        <f t="shared" si="13"/>
        <v>-0.28687666884101382</v>
      </c>
      <c r="U59" s="5">
        <v>0.85</v>
      </c>
      <c r="V59" s="5">
        <v>0.02</v>
      </c>
      <c r="W59" t="s">
        <v>29</v>
      </c>
      <c r="X59" s="5">
        <v>0.85</v>
      </c>
      <c r="Y59" t="s">
        <v>29</v>
      </c>
      <c r="Z59" t="s">
        <v>29</v>
      </c>
    </row>
    <row r="60" spans="1:26" x14ac:dyDescent="0.2">
      <c r="A60" s="2">
        <v>2039</v>
      </c>
      <c r="B60" s="1">
        <v>12.3</v>
      </c>
      <c r="C60" s="4">
        <v>277055524</v>
      </c>
      <c r="D60" s="4">
        <v>27418624</v>
      </c>
      <c r="E60" s="4">
        <v>18282397</v>
      </c>
      <c r="F60" s="4">
        <v>7118569</v>
      </c>
      <c r="G60" s="4">
        <v>9144546</v>
      </c>
      <c r="H60" s="4">
        <v>578706</v>
      </c>
      <c r="J60" s="4">
        <v>337491422</v>
      </c>
      <c r="L60">
        <f t="shared" si="11"/>
        <v>836509.20741424558</v>
      </c>
      <c r="M60">
        <f t="shared" si="8"/>
        <v>67171.148363795786</v>
      </c>
      <c r="N60">
        <f t="shared" si="9"/>
        <v>54350.933615832</v>
      </c>
      <c r="O60">
        <f t="shared" si="10"/>
        <v>10337.180132916452</v>
      </c>
      <c r="P60">
        <f t="shared" si="14"/>
        <v>4233.3046463926739</v>
      </c>
      <c r="Q60">
        <f t="shared" si="15"/>
        <v>0</v>
      </c>
      <c r="R60">
        <f t="shared" si="12"/>
        <v>972601.77417318255</v>
      </c>
      <c r="S60" s="6">
        <f t="shared" si="13"/>
        <v>-0.29463206137271869</v>
      </c>
      <c r="U60" s="5">
        <v>0.85</v>
      </c>
      <c r="V60" s="5">
        <v>0.02</v>
      </c>
      <c r="W60" t="s">
        <v>29</v>
      </c>
      <c r="X60" s="5">
        <v>0.85</v>
      </c>
      <c r="Y60" t="s">
        <v>29</v>
      </c>
      <c r="Z60" t="s">
        <v>29</v>
      </c>
    </row>
    <row r="61" spans="1:26" x14ac:dyDescent="0.2">
      <c r="A61" s="2">
        <v>2040</v>
      </c>
      <c r="B61" s="1">
        <v>12.4</v>
      </c>
      <c r="C61" s="4">
        <v>278334493</v>
      </c>
      <c r="D61" s="4">
        <v>26298418</v>
      </c>
      <c r="E61" s="4">
        <v>18458377</v>
      </c>
      <c r="F61" s="4">
        <v>8624508</v>
      </c>
      <c r="G61" s="4">
        <v>12740944</v>
      </c>
      <c r="H61" s="4">
        <v>759559</v>
      </c>
      <c r="J61" s="4">
        <v>340739988</v>
      </c>
      <c r="L61">
        <f t="shared" si="11"/>
        <v>840370.77757552976</v>
      </c>
      <c r="M61">
        <f t="shared" si="8"/>
        <v>64426.826714977295</v>
      </c>
      <c r="N61">
        <f t="shared" si="9"/>
        <v>54874.096814712007</v>
      </c>
      <c r="O61">
        <f t="shared" si="10"/>
        <v>12524.018907982632</v>
      </c>
      <c r="P61">
        <f t="shared" si="14"/>
        <v>5898.1930250696814</v>
      </c>
      <c r="Q61">
        <f t="shared" si="15"/>
        <v>0</v>
      </c>
      <c r="R61">
        <f t="shared" si="12"/>
        <v>978093.91303827136</v>
      </c>
      <c r="S61" s="6">
        <f t="shared" si="13"/>
        <v>-0.30194265780495289</v>
      </c>
      <c r="U61" s="5">
        <v>0.85</v>
      </c>
      <c r="V61" s="5">
        <v>0.02</v>
      </c>
      <c r="W61" t="s">
        <v>29</v>
      </c>
      <c r="X61" s="5">
        <v>0.85</v>
      </c>
      <c r="Y61" t="s">
        <v>29</v>
      </c>
      <c r="Z61" t="s">
        <v>29</v>
      </c>
    </row>
    <row r="62" spans="1:26" x14ac:dyDescent="0.2">
      <c r="A62" s="2">
        <v>2041</v>
      </c>
      <c r="B62" s="1">
        <v>12.5</v>
      </c>
      <c r="C62" s="4">
        <v>278115260</v>
      </c>
      <c r="D62" s="4">
        <v>25178894</v>
      </c>
      <c r="E62" s="4">
        <v>18602740</v>
      </c>
      <c r="F62" s="4">
        <v>10430353</v>
      </c>
      <c r="G62" s="4">
        <v>17720015</v>
      </c>
      <c r="H62" s="4">
        <v>995149</v>
      </c>
      <c r="J62" s="4">
        <v>343404925</v>
      </c>
      <c r="L62">
        <f t="shared" si="11"/>
        <v>839708.850968107</v>
      </c>
      <c r="M62">
        <f t="shared" si="8"/>
        <v>61684.175854714216</v>
      </c>
      <c r="N62">
        <f t="shared" si="9"/>
        <v>55303.267225440002</v>
      </c>
      <c r="O62">
        <f t="shared" si="10"/>
        <v>15146.364081166526</v>
      </c>
      <c r="P62">
        <f t="shared" si="14"/>
        <v>8203.1652346270512</v>
      </c>
      <c r="Q62">
        <f t="shared" si="15"/>
        <v>0</v>
      </c>
      <c r="R62">
        <f t="shared" si="12"/>
        <v>980045.8233640549</v>
      </c>
      <c r="S62" s="6">
        <f t="shared" si="13"/>
        <v>-0.30454084933183156</v>
      </c>
      <c r="U62" s="5">
        <v>0.85</v>
      </c>
      <c r="V62" s="5">
        <v>0.02</v>
      </c>
      <c r="W62" t="s">
        <v>29</v>
      </c>
      <c r="X62" s="5">
        <v>0.85</v>
      </c>
      <c r="Y62" t="s">
        <v>29</v>
      </c>
      <c r="Z62" t="s">
        <v>29</v>
      </c>
    </row>
    <row r="63" spans="1:26" x14ac:dyDescent="0.2">
      <c r="A63" s="2">
        <v>2042</v>
      </c>
      <c r="B63" s="1">
        <v>12.6</v>
      </c>
      <c r="C63" s="4">
        <v>276880012</v>
      </c>
      <c r="D63" s="4">
        <v>24134983</v>
      </c>
      <c r="E63" s="4">
        <v>18769974</v>
      </c>
      <c r="F63" s="4">
        <v>12628942</v>
      </c>
      <c r="G63" s="4">
        <v>24673453</v>
      </c>
      <c r="H63" s="4">
        <v>1305324</v>
      </c>
      <c r="J63" s="4">
        <v>346492042</v>
      </c>
      <c r="L63">
        <f t="shared" si="11"/>
        <v>835979.2869062837</v>
      </c>
      <c r="M63">
        <f t="shared" si="8"/>
        <v>59126.764488644265</v>
      </c>
      <c r="N63">
        <f t="shared" si="9"/>
        <v>55800.429825744002</v>
      </c>
      <c r="O63">
        <f t="shared" si="10"/>
        <v>18339.029704165849</v>
      </c>
      <c r="P63">
        <f t="shared" si="14"/>
        <v>11422.135470416053</v>
      </c>
      <c r="Q63">
        <f t="shared" si="15"/>
        <v>0</v>
      </c>
      <c r="R63">
        <f t="shared" si="12"/>
        <v>980667.64639525395</v>
      </c>
      <c r="S63" s="6">
        <f t="shared" si="13"/>
        <v>-0.30536855914489935</v>
      </c>
      <c r="U63" s="5">
        <v>0.85</v>
      </c>
      <c r="V63" s="5">
        <v>0.02</v>
      </c>
      <c r="W63" t="s">
        <v>29</v>
      </c>
      <c r="X63" s="5">
        <v>0.85</v>
      </c>
      <c r="Y63" t="s">
        <v>29</v>
      </c>
      <c r="Z63" t="s">
        <v>29</v>
      </c>
    </row>
    <row r="64" spans="1:26" x14ac:dyDescent="0.2">
      <c r="A64" s="2">
        <v>2043</v>
      </c>
      <c r="B64" s="1">
        <v>12.7</v>
      </c>
      <c r="C64" s="4">
        <v>273008485</v>
      </c>
      <c r="D64" s="4">
        <v>23063745</v>
      </c>
      <c r="E64" s="4">
        <v>18880908</v>
      </c>
      <c r="F64" s="4">
        <v>15244299</v>
      </c>
      <c r="G64" s="4">
        <v>34250604</v>
      </c>
      <c r="H64" s="4">
        <v>1706951</v>
      </c>
      <c r="J64" s="4">
        <v>348539888</v>
      </c>
      <c r="L64">
        <f t="shared" si="11"/>
        <v>824290.04882326012</v>
      </c>
      <c r="M64">
        <f t="shared" si="8"/>
        <v>56502.406438038357</v>
      </c>
      <c r="N64">
        <f t="shared" si="9"/>
        <v>56130.220633247998</v>
      </c>
      <c r="O64">
        <f t="shared" si="10"/>
        <v>22136.902060377328</v>
      </c>
      <c r="P64">
        <f t="shared" si="14"/>
        <v>15855.706894027928</v>
      </c>
      <c r="Q64">
        <f t="shared" si="15"/>
        <v>0</v>
      </c>
      <c r="R64">
        <f t="shared" si="12"/>
        <v>974915.28484895162</v>
      </c>
      <c r="S64" s="6">
        <f t="shared" si="13"/>
        <v>-0.29771157980946517</v>
      </c>
      <c r="U64" s="5">
        <v>0.85</v>
      </c>
      <c r="V64" s="5">
        <v>0.02</v>
      </c>
      <c r="W64" t="s">
        <v>29</v>
      </c>
      <c r="X64" s="5">
        <v>0.85</v>
      </c>
      <c r="Y64" t="s">
        <v>29</v>
      </c>
      <c r="Z64" t="s">
        <v>29</v>
      </c>
    </row>
    <row r="65" spans="1:26" x14ac:dyDescent="0.2">
      <c r="A65" s="2">
        <v>2044</v>
      </c>
      <c r="B65" s="1">
        <v>12.8</v>
      </c>
      <c r="C65" s="4">
        <v>267322633</v>
      </c>
      <c r="D65" s="4">
        <v>22088131</v>
      </c>
      <c r="E65" s="4">
        <v>19033928</v>
      </c>
      <c r="F65" s="4">
        <v>18441415</v>
      </c>
      <c r="G65" s="4">
        <v>47648898</v>
      </c>
      <c r="H65" s="4">
        <v>2237020</v>
      </c>
      <c r="J65" s="4">
        <v>351364619</v>
      </c>
      <c r="L65">
        <f t="shared" si="11"/>
        <v>807122.84897347586</v>
      </c>
      <c r="M65">
        <f t="shared" si="8"/>
        <v>54112.311561658134</v>
      </c>
      <c r="N65">
        <f t="shared" si="9"/>
        <v>56585.127058368002</v>
      </c>
      <c r="O65">
        <f t="shared" si="10"/>
        <v>26779.571675271742</v>
      </c>
      <c r="P65">
        <f t="shared" si="14"/>
        <v>22058.208389885138</v>
      </c>
      <c r="Q65">
        <f t="shared" si="15"/>
        <v>0</v>
      </c>
      <c r="R65">
        <f t="shared" si="12"/>
        <v>966658.06765865895</v>
      </c>
      <c r="S65" s="6">
        <f t="shared" si="13"/>
        <v>-0.28672038238813768</v>
      </c>
      <c r="U65" s="5">
        <v>0.85</v>
      </c>
      <c r="V65" s="5">
        <v>0.02</v>
      </c>
      <c r="W65" t="s">
        <v>29</v>
      </c>
      <c r="X65" s="5">
        <v>0.85</v>
      </c>
      <c r="Y65" t="s">
        <v>29</v>
      </c>
      <c r="Z65" t="s">
        <v>29</v>
      </c>
    </row>
    <row r="66" spans="1:26" x14ac:dyDescent="0.2">
      <c r="A66" s="2">
        <v>2045</v>
      </c>
      <c r="B66" s="1">
        <v>12.9</v>
      </c>
      <c r="C66" s="4">
        <v>258695420</v>
      </c>
      <c r="D66" s="4">
        <v>21180754</v>
      </c>
      <c r="E66" s="4">
        <v>19212650</v>
      </c>
      <c r="F66" s="4">
        <v>22337488</v>
      </c>
      <c r="G66" s="4">
        <v>66372901</v>
      </c>
      <c r="H66" s="4">
        <v>2935432</v>
      </c>
      <c r="J66" s="4">
        <v>354663809</v>
      </c>
      <c r="L66">
        <f t="shared" si="11"/>
        <v>781074.84601496474</v>
      </c>
      <c r="M66">
        <f t="shared" si="8"/>
        <v>51889.386184772113</v>
      </c>
      <c r="N66">
        <f t="shared" si="9"/>
        <v>57116.441828399998</v>
      </c>
      <c r="O66">
        <f t="shared" si="10"/>
        <v>32437.226803991041</v>
      </c>
      <c r="P66">
        <f t="shared" si="14"/>
        <v>30726.15198150471</v>
      </c>
      <c r="Q66">
        <f t="shared" si="15"/>
        <v>0</v>
      </c>
      <c r="R66">
        <f t="shared" si="12"/>
        <v>953244.05281363265</v>
      </c>
      <c r="S66" s="6">
        <f t="shared" si="13"/>
        <v>-0.26886496185401021</v>
      </c>
      <c r="U66" s="5">
        <v>0.85</v>
      </c>
      <c r="V66" s="5">
        <v>0.02</v>
      </c>
      <c r="W66" t="s">
        <v>29</v>
      </c>
      <c r="X66" s="5">
        <v>0.85</v>
      </c>
      <c r="Y66" t="s">
        <v>29</v>
      </c>
      <c r="Z66" t="s">
        <v>29</v>
      </c>
    </row>
    <row r="67" spans="1:26" x14ac:dyDescent="0.2">
      <c r="A67" s="2">
        <v>2046</v>
      </c>
      <c r="B67" s="1">
        <v>13</v>
      </c>
      <c r="C67" s="4">
        <v>245475349</v>
      </c>
      <c r="D67" s="4">
        <v>20300765</v>
      </c>
      <c r="E67" s="4">
        <v>19383610</v>
      </c>
      <c r="F67" s="4">
        <v>27043504</v>
      </c>
      <c r="G67" s="4">
        <v>92409637</v>
      </c>
      <c r="H67" s="4">
        <v>3850018</v>
      </c>
      <c r="J67" s="4">
        <v>357819704</v>
      </c>
      <c r="L67">
        <f t="shared" si="11"/>
        <v>741159.70209540124</v>
      </c>
      <c r="M67">
        <f t="shared" si="8"/>
        <v>49733.556932454114</v>
      </c>
      <c r="N67">
        <f t="shared" si="9"/>
        <v>57624.681290160006</v>
      </c>
      <c r="O67">
        <f t="shared" si="10"/>
        <v>39271.034989370288</v>
      </c>
      <c r="P67">
        <f t="shared" si="14"/>
        <v>42779.39502776412</v>
      </c>
      <c r="Q67">
        <f t="shared" si="15"/>
        <v>0</v>
      </c>
      <c r="R67">
        <f t="shared" si="12"/>
        <v>930568.37033514981</v>
      </c>
      <c r="S67" s="6">
        <f t="shared" si="13"/>
        <v>-0.23868131801364423</v>
      </c>
      <c r="U67" s="5">
        <v>0.85</v>
      </c>
      <c r="V67" s="5">
        <v>0.02</v>
      </c>
      <c r="W67" t="s">
        <v>29</v>
      </c>
      <c r="X67" s="5">
        <v>0.85</v>
      </c>
      <c r="Y67" t="s">
        <v>29</v>
      </c>
      <c r="Z67" t="s">
        <v>29</v>
      </c>
    </row>
    <row r="68" spans="1:26" x14ac:dyDescent="0.2">
      <c r="A68" s="2">
        <v>2047</v>
      </c>
      <c r="B68" s="1">
        <v>13.1</v>
      </c>
      <c r="C68" s="4">
        <v>225798934</v>
      </c>
      <c r="D68" s="4">
        <v>19424936</v>
      </c>
      <c r="E68" s="4">
        <v>19523525</v>
      </c>
      <c r="F68" s="4">
        <v>32686452</v>
      </c>
      <c r="G68" s="4">
        <v>128445805</v>
      </c>
      <c r="H68" s="4">
        <v>5041151</v>
      </c>
      <c r="J68" s="4">
        <v>360402528</v>
      </c>
      <c r="L68">
        <f t="shared" si="11"/>
        <v>681751.02444563259</v>
      </c>
      <c r="M68">
        <f t="shared" si="8"/>
        <v>47587.919000356756</v>
      </c>
      <c r="N68">
        <f t="shared" si="9"/>
        <v>58040.628437400002</v>
      </c>
      <c r="O68">
        <f t="shared" si="10"/>
        <v>47465.402418650046</v>
      </c>
      <c r="P68">
        <f t="shared" si="14"/>
        <v>59461.696962992719</v>
      </c>
      <c r="Q68">
        <f t="shared" si="15"/>
        <v>0</v>
      </c>
      <c r="R68">
        <f t="shared" si="12"/>
        <v>894306.67126503214</v>
      </c>
      <c r="S68" s="6">
        <f t="shared" si="13"/>
        <v>-0.19041330178888205</v>
      </c>
      <c r="U68" s="5">
        <v>0.85</v>
      </c>
      <c r="V68" s="5">
        <v>0.02</v>
      </c>
      <c r="W68" t="s">
        <v>29</v>
      </c>
      <c r="X68" s="5">
        <v>0.85</v>
      </c>
      <c r="Y68" t="s">
        <v>29</v>
      </c>
      <c r="Z68" t="s">
        <v>29</v>
      </c>
    </row>
    <row r="69" spans="1:26" x14ac:dyDescent="0.2">
      <c r="A69" s="2">
        <v>2048</v>
      </c>
      <c r="B69" s="1">
        <v>13.2</v>
      </c>
      <c r="C69" s="4">
        <v>198094716</v>
      </c>
      <c r="D69" s="4">
        <v>18603779</v>
      </c>
      <c r="E69" s="4">
        <v>19682317</v>
      </c>
      <c r="F69" s="4">
        <v>39542763</v>
      </c>
      <c r="G69" s="4">
        <v>178696890</v>
      </c>
      <c r="H69" s="4">
        <v>6606799</v>
      </c>
      <c r="J69" s="4">
        <v>363333810</v>
      </c>
      <c r="L69">
        <f t="shared" si="11"/>
        <v>598104.13263627992</v>
      </c>
      <c r="M69">
        <f t="shared" si="8"/>
        <v>45576.218534389918</v>
      </c>
      <c r="N69">
        <f t="shared" si="9"/>
        <v>58512.694187352005</v>
      </c>
      <c r="O69">
        <f t="shared" si="10"/>
        <v>57421.746433057509</v>
      </c>
      <c r="P69">
        <f t="shared" si="14"/>
        <v>82724.541462519905</v>
      </c>
      <c r="Q69">
        <f t="shared" si="15"/>
        <v>0</v>
      </c>
      <c r="R69">
        <f t="shared" si="12"/>
        <v>842339.33325359912</v>
      </c>
      <c r="S69" s="6">
        <f t="shared" si="13"/>
        <v>-0.12123947986059225</v>
      </c>
      <c r="U69" s="5">
        <v>0.85</v>
      </c>
      <c r="V69" s="5">
        <v>0.02</v>
      </c>
      <c r="W69" t="s">
        <v>29</v>
      </c>
      <c r="X69" s="5">
        <v>0.85</v>
      </c>
      <c r="Y69" t="s">
        <v>29</v>
      </c>
      <c r="Z69" t="s">
        <v>29</v>
      </c>
    </row>
    <row r="70" spans="1:26" x14ac:dyDescent="0.2">
      <c r="A70" s="2">
        <v>2049</v>
      </c>
      <c r="B70" s="1">
        <v>13.4</v>
      </c>
      <c r="C70" s="4">
        <v>159220164</v>
      </c>
      <c r="D70" s="4">
        <v>17828961</v>
      </c>
      <c r="E70" s="4">
        <v>19855346</v>
      </c>
      <c r="F70" s="4">
        <v>47868465</v>
      </c>
      <c r="G70" s="4">
        <v>248769613</v>
      </c>
      <c r="H70" s="4">
        <v>8664344</v>
      </c>
      <c r="J70" s="4">
        <v>366527919</v>
      </c>
      <c r="L70">
        <f t="shared" si="11"/>
        <v>480730.83427135058</v>
      </c>
      <c r="M70">
        <f t="shared" si="8"/>
        <v>43678.041046236634</v>
      </c>
      <c r="N70">
        <f t="shared" si="9"/>
        <v>59027.084488176006</v>
      </c>
      <c r="O70">
        <f t="shared" si="10"/>
        <v>69511.85630022081</v>
      </c>
      <c r="P70">
        <f t="shared" si="14"/>
        <v>115163.46012084221</v>
      </c>
      <c r="Q70">
        <f t="shared" si="15"/>
        <v>0</v>
      </c>
      <c r="R70">
        <f t="shared" si="12"/>
        <v>768111.27622682624</v>
      </c>
      <c r="S70" s="6">
        <f t="shared" si="13"/>
        <v>-2.2434372742669906E-2</v>
      </c>
      <c r="U70" s="5">
        <v>0.85</v>
      </c>
      <c r="V70" s="5">
        <v>0.02</v>
      </c>
      <c r="W70" t="s">
        <v>29</v>
      </c>
      <c r="X70" s="5">
        <v>0.85</v>
      </c>
      <c r="Y70" t="s">
        <v>29</v>
      </c>
      <c r="Z70" t="s">
        <v>29</v>
      </c>
    </row>
    <row r="71" spans="1:26" x14ac:dyDescent="0.2">
      <c r="A71" s="2">
        <v>2050</v>
      </c>
      <c r="B71" s="1">
        <v>13.5</v>
      </c>
      <c r="C71" s="4">
        <v>104780395</v>
      </c>
      <c r="D71" s="4">
        <v>17076131</v>
      </c>
      <c r="E71" s="4">
        <v>20017844</v>
      </c>
      <c r="F71" s="4">
        <v>57912270</v>
      </c>
      <c r="G71" s="4">
        <v>346111681</v>
      </c>
      <c r="H71" s="4">
        <v>11355830</v>
      </c>
      <c r="J71" s="4">
        <v>369527617</v>
      </c>
      <c r="L71">
        <f t="shared" si="11"/>
        <v>316361.73106586951</v>
      </c>
      <c r="M71">
        <f t="shared" si="8"/>
        <v>41833.730565057267</v>
      </c>
      <c r="N71">
        <f t="shared" si="9"/>
        <v>59510.167642464003</v>
      </c>
      <c r="O71">
        <f t="shared" si="10"/>
        <v>84096.897409590834</v>
      </c>
      <c r="P71">
        <f t="shared" si="14"/>
        <v>160226.23620112785</v>
      </c>
      <c r="Q71">
        <f t="shared" si="15"/>
        <v>0</v>
      </c>
      <c r="R71">
        <f t="shared" si="12"/>
        <v>662028.7628841094</v>
      </c>
      <c r="S71" s="6">
        <f t="shared" si="13"/>
        <v>0.11877226143320596</v>
      </c>
      <c r="U71" s="5">
        <v>0.85</v>
      </c>
      <c r="V71" s="5">
        <v>0.02</v>
      </c>
      <c r="W71" t="s">
        <v>29</v>
      </c>
      <c r="X71" s="5">
        <v>0.85</v>
      </c>
      <c r="Y71" t="s">
        <v>29</v>
      </c>
      <c r="Z71" t="s">
        <v>29</v>
      </c>
    </row>
    <row r="72" spans="1:26" x14ac:dyDescent="0.2">
      <c r="A72" s="1"/>
      <c r="B72" s="1"/>
      <c r="C72" s="1"/>
      <c r="D72" s="1"/>
      <c r="E72" s="1"/>
      <c r="F72" s="1"/>
      <c r="G72" s="1"/>
      <c r="H72" s="1"/>
      <c r="J72" s="1"/>
    </row>
    <row r="73" spans="1:26" x14ac:dyDescent="0.2">
      <c r="A73" s="1" t="s">
        <v>37</v>
      </c>
      <c r="B73" s="1"/>
      <c r="C73" s="1"/>
      <c r="D73" s="1"/>
      <c r="E73" s="1"/>
      <c r="F73" s="1"/>
      <c r="G73" s="1"/>
      <c r="H73" s="1"/>
      <c r="J73" s="1"/>
    </row>
    <row r="74" spans="1:26" s="8" customFormat="1" ht="51" x14ac:dyDescent="0.2">
      <c r="C74" s="8" t="s">
        <v>17</v>
      </c>
      <c r="D74" s="8" t="s">
        <v>18</v>
      </c>
      <c r="E74" s="8" t="s">
        <v>19</v>
      </c>
      <c r="F74" s="8" t="s">
        <v>20</v>
      </c>
      <c r="G74" s="8" t="s">
        <v>21</v>
      </c>
      <c r="H74" s="8" t="s">
        <v>22</v>
      </c>
      <c r="I74" s="8" t="s">
        <v>11</v>
      </c>
      <c r="J74" s="8" t="s">
        <v>24</v>
      </c>
      <c r="K74" s="8" t="s">
        <v>25</v>
      </c>
      <c r="L74" s="8" t="s">
        <v>26</v>
      </c>
      <c r="M74"/>
    </row>
    <row r="75" spans="1:26" x14ac:dyDescent="0.2">
      <c r="A75" s="1" t="s">
        <v>34</v>
      </c>
      <c r="B75" s="1" t="s">
        <v>16</v>
      </c>
      <c r="C75" s="1">
        <v>5.8924879453758884E-2</v>
      </c>
      <c r="D75" s="1">
        <v>5.8924879453758884E-2</v>
      </c>
      <c r="E75" s="1">
        <v>5.8924879453758884E-2</v>
      </c>
      <c r="F75">
        <v>5.6997347881142559E-2</v>
      </c>
      <c r="G75" s="1">
        <v>5.6997347881142559E-2</v>
      </c>
      <c r="H75" s="1">
        <v>5.6997347881142559E-2</v>
      </c>
      <c r="I75" s="1">
        <v>6.1934500000000003E-2</v>
      </c>
      <c r="J75" s="1">
        <v>0</v>
      </c>
      <c r="K75" s="1">
        <v>5.6997347881142559E-2</v>
      </c>
      <c r="L75" s="1">
        <v>2.4888827066932146E-2</v>
      </c>
    </row>
    <row r="76" spans="1:26" ht="17" x14ac:dyDescent="0.2">
      <c r="A76" s="8" t="s">
        <v>35</v>
      </c>
      <c r="B76" s="1" t="s">
        <v>16</v>
      </c>
      <c r="C76" s="1">
        <v>7.7962148200357906E-2</v>
      </c>
      <c r="D76" s="1">
        <v>7.7962148200357906E-2</v>
      </c>
      <c r="E76" s="1">
        <v>7.7962148200357906E-2</v>
      </c>
      <c r="F76">
        <v>7.5791067993303055E-2</v>
      </c>
      <c r="G76" s="1">
        <v>7.5791067993303055E-2</v>
      </c>
      <c r="H76" s="1">
        <v>7.5791067993303055E-2</v>
      </c>
      <c r="I76" s="1">
        <v>6.1934497458916042E-2</v>
      </c>
      <c r="J76" s="1">
        <v>0</v>
      </c>
      <c r="K76" s="1">
        <v>7.5791067993303055E-2</v>
      </c>
      <c r="L76" s="1">
        <v>2.4888827066932146E-2</v>
      </c>
    </row>
    <row r="77" spans="1:26" x14ac:dyDescent="0.2">
      <c r="A77" s="1"/>
      <c r="B77" s="1"/>
      <c r="C77" s="1"/>
      <c r="D77" s="1"/>
      <c r="E77" s="1"/>
      <c r="F77" s="1"/>
      <c r="G77" s="1"/>
      <c r="H77" s="1"/>
      <c r="J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J78" s="1"/>
    </row>
  </sheetData>
  <mergeCells count="4">
    <mergeCell ref="L2:S2"/>
    <mergeCell ref="L38:S38"/>
    <mergeCell ref="U2:Z2"/>
    <mergeCell ref="U38:Z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841FF-6359-074E-82E5-54CA3CCF2165}">
  <dimension ref="A1:Z78"/>
  <sheetViews>
    <sheetView topLeftCell="A15" workbookViewId="0">
      <selection activeCell="A51" sqref="A51:M51"/>
    </sheetView>
  </sheetViews>
  <sheetFormatPr baseColWidth="10" defaultRowHeight="16" x14ac:dyDescent="0.2"/>
  <cols>
    <col min="2" max="2" width="35.1640625" customWidth="1"/>
    <col min="12" max="14" width="12.1640625" bestFit="1" customWidth="1"/>
    <col min="15" max="15" width="11.1640625" bestFit="1" customWidth="1"/>
  </cols>
  <sheetData>
    <row r="1" spans="1:26" ht="22" x14ac:dyDescent="0.3">
      <c r="A1" s="10" t="s">
        <v>41</v>
      </c>
    </row>
    <row r="2" spans="1:26" x14ac:dyDescent="0.2">
      <c r="A2" s="1"/>
      <c r="B2" s="1"/>
      <c r="C2" s="1">
        <v>40.200000000000003</v>
      </c>
      <c r="D2" s="1">
        <v>42.7</v>
      </c>
      <c r="E2" s="1">
        <v>48</v>
      </c>
      <c r="F2" s="1">
        <v>19.899999999999999</v>
      </c>
      <c r="G2" s="1">
        <v>18.600000000000001</v>
      </c>
      <c r="H2" s="1">
        <v>120</v>
      </c>
      <c r="J2" s="1"/>
      <c r="L2" s="13" t="s">
        <v>39</v>
      </c>
      <c r="M2" s="13"/>
      <c r="N2" s="13"/>
      <c r="O2" s="13"/>
      <c r="P2" s="13"/>
      <c r="Q2" s="13"/>
      <c r="R2" s="13"/>
      <c r="S2" s="13"/>
      <c r="U2" s="13" t="s">
        <v>36</v>
      </c>
      <c r="V2" s="13"/>
      <c r="W2" s="13"/>
      <c r="X2" s="13"/>
      <c r="Y2" s="13"/>
      <c r="Z2" s="13"/>
    </row>
    <row r="3" spans="1:26" x14ac:dyDescent="0.2">
      <c r="A3" s="2" t="s">
        <v>0</v>
      </c>
      <c r="B3" s="3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J3" s="1" t="s">
        <v>15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28</v>
      </c>
      <c r="S3" s="1" t="s">
        <v>30</v>
      </c>
      <c r="U3" s="1" t="s">
        <v>9</v>
      </c>
      <c r="V3" s="1" t="s">
        <v>10</v>
      </c>
      <c r="W3" s="1" t="s">
        <v>11</v>
      </c>
      <c r="X3" s="1" t="s">
        <v>12</v>
      </c>
      <c r="Y3" s="1" t="s">
        <v>13</v>
      </c>
      <c r="Z3" s="1" t="s">
        <v>14</v>
      </c>
    </row>
    <row r="4" spans="1:26" x14ac:dyDescent="0.2">
      <c r="A4" s="2">
        <v>2019</v>
      </c>
      <c r="B4" s="1">
        <v>9.9</v>
      </c>
      <c r="C4" s="4">
        <v>196317426</v>
      </c>
      <c r="D4" s="4">
        <v>50567463</v>
      </c>
      <c r="E4" s="4">
        <v>11574174</v>
      </c>
      <c r="F4" s="4">
        <v>153689</v>
      </c>
      <c r="G4" s="1" t="s">
        <v>8</v>
      </c>
      <c r="H4" s="1" t="s">
        <v>8</v>
      </c>
      <c r="J4" s="7">
        <v>263925621</v>
      </c>
      <c r="L4">
        <f>(C4*U4*C$2*1000*$C$76+C4*(1-U4)*1000*C$2*$C$75)/1000000</f>
        <v>1373754.6536381575</v>
      </c>
      <c r="M4">
        <f>(D4*V4*D$2*1000*$H$76+D4*(1-V4)*1000*D$2*$H$75)/1000000</f>
        <v>272976.84769560164</v>
      </c>
      <c r="N4">
        <f>(E4*E$2*1000*$I$75)/1000000</f>
        <v>89461.713143968125</v>
      </c>
      <c r="O4">
        <f>(F4*X4*F$2*1000*$K$76+F4*(1-X4)*1000*F$2*$K$75)/1000000</f>
        <v>532.99921874064682</v>
      </c>
      <c r="P4" s="1" t="s">
        <v>8</v>
      </c>
      <c r="Q4" s="1" t="s">
        <v>8</v>
      </c>
      <c r="R4">
        <f>SUM(L4:Q4)</f>
        <v>1736726.2136964679</v>
      </c>
      <c r="S4" t="s">
        <v>29</v>
      </c>
      <c r="U4" s="5">
        <v>0.85</v>
      </c>
      <c r="V4" s="5">
        <v>0.02</v>
      </c>
      <c r="W4" t="s">
        <v>29</v>
      </c>
      <c r="X4" s="5">
        <v>0.95</v>
      </c>
      <c r="Y4" t="s">
        <v>29</v>
      </c>
      <c r="Z4" t="s">
        <v>29</v>
      </c>
    </row>
    <row r="5" spans="1:26" x14ac:dyDescent="0.2">
      <c r="A5" s="2">
        <v>2020</v>
      </c>
      <c r="B5" s="1">
        <v>10.4</v>
      </c>
      <c r="C5" s="4">
        <v>198809774</v>
      </c>
      <c r="D5" s="4">
        <v>52244612</v>
      </c>
      <c r="E5" s="4">
        <v>12298869</v>
      </c>
      <c r="F5" s="4">
        <v>176122</v>
      </c>
      <c r="G5" s="1" t="s">
        <v>8</v>
      </c>
      <c r="H5" s="1" t="s">
        <v>8</v>
      </c>
      <c r="J5" s="7">
        <v>269075831</v>
      </c>
      <c r="L5">
        <f t="shared" ref="L5:L35" si="0">(C5*U5*C$2*1000*$D$76+C5*(1-U5)*1000*C$2*$D$75)/1000000</f>
        <v>1391195.1566706582</v>
      </c>
      <c r="M5">
        <f t="shared" ref="M5:M35" si="1">(D5*V5*D$2*1000*$H$76+D5*(1-V5)*1000*D$2*$H$75)/1000000</f>
        <v>282030.5517965139</v>
      </c>
      <c r="N5">
        <f t="shared" ref="N5:N35" si="2">(E5*E$2*1000*$I$75)/1000000</f>
        <v>95063.188999339574</v>
      </c>
      <c r="O5">
        <f t="shared" ref="O5:O35" si="3">(F5*X5*F$2*1000*$K$76+F5*(1-X5)*1000*F$2*$K$75)/1000000</f>
        <v>610.79770447488249</v>
      </c>
      <c r="P5" s="1" t="s">
        <v>8</v>
      </c>
      <c r="Q5" s="1" t="s">
        <v>8</v>
      </c>
      <c r="R5">
        <f t="shared" ref="R5:R35" si="4">SUM(L5:Q5)</f>
        <v>1768899.6951709862</v>
      </c>
      <c r="S5" s="6">
        <f>1-R5/$R$4</f>
        <v>-1.8525361810506569E-2</v>
      </c>
      <c r="U5" s="5">
        <v>0.85</v>
      </c>
      <c r="V5" s="5">
        <v>0.02</v>
      </c>
      <c r="W5" t="s">
        <v>29</v>
      </c>
      <c r="X5" s="5">
        <v>0.95</v>
      </c>
      <c r="Y5" t="s">
        <v>29</v>
      </c>
      <c r="Z5" t="s">
        <v>29</v>
      </c>
    </row>
    <row r="6" spans="1:26" x14ac:dyDescent="0.2">
      <c r="A6" s="2">
        <v>2021</v>
      </c>
      <c r="B6" s="1">
        <v>10.6</v>
      </c>
      <c r="C6" s="4">
        <v>204568676</v>
      </c>
      <c r="D6" s="4">
        <v>52515022</v>
      </c>
      <c r="E6" s="4">
        <v>13830180</v>
      </c>
      <c r="F6" s="4">
        <v>163472</v>
      </c>
      <c r="G6" s="1" t="s">
        <v>8</v>
      </c>
      <c r="H6" s="1" t="s">
        <v>8</v>
      </c>
      <c r="J6" s="4">
        <v>276944127</v>
      </c>
      <c r="L6">
        <f t="shared" si="0"/>
        <v>1431493.7617590628</v>
      </c>
      <c r="M6">
        <f t="shared" si="1"/>
        <v>283490.2981433965</v>
      </c>
      <c r="N6">
        <f t="shared" si="2"/>
        <v>106899.34295868067</v>
      </c>
      <c r="O6">
        <f t="shared" si="3"/>
        <v>566.92702981977243</v>
      </c>
      <c r="P6" s="1" t="s">
        <v>8</v>
      </c>
      <c r="Q6" s="1" t="s">
        <v>8</v>
      </c>
      <c r="R6">
        <f t="shared" si="4"/>
        <v>1822450.3298909597</v>
      </c>
      <c r="S6" s="6">
        <f t="shared" ref="S6:S35" si="5">1-R6/$R$4</f>
        <v>-4.9359602865690411E-2</v>
      </c>
      <c r="U6" s="5">
        <v>0.85</v>
      </c>
      <c r="V6" s="5">
        <v>0.02</v>
      </c>
      <c r="W6" t="s">
        <v>29</v>
      </c>
      <c r="X6" s="5">
        <v>0.95</v>
      </c>
      <c r="Y6" t="s">
        <v>29</v>
      </c>
      <c r="Z6" t="s">
        <v>29</v>
      </c>
    </row>
    <row r="7" spans="1:26" x14ac:dyDescent="0.2">
      <c r="A7" s="2">
        <v>2022</v>
      </c>
      <c r="B7" s="1">
        <v>10.7</v>
      </c>
      <c r="C7" s="4">
        <v>207509604</v>
      </c>
      <c r="D7" s="4">
        <v>53007269</v>
      </c>
      <c r="E7" s="4">
        <v>14075107</v>
      </c>
      <c r="F7" s="4">
        <v>234457</v>
      </c>
      <c r="G7" s="1" t="s">
        <v>8</v>
      </c>
      <c r="H7" s="1" t="s">
        <v>8</v>
      </c>
      <c r="J7" s="4">
        <v>280735505</v>
      </c>
      <c r="L7">
        <f t="shared" si="0"/>
        <v>1452073.2569589172</v>
      </c>
      <c r="M7">
        <f t="shared" si="1"/>
        <v>286147.58064039686</v>
      </c>
      <c r="N7">
        <f t="shared" si="2"/>
        <v>108792.48790493884</v>
      </c>
      <c r="O7">
        <f t="shared" si="3"/>
        <v>813.10567332909886</v>
      </c>
      <c r="P7" s="1" t="s">
        <v>8</v>
      </c>
      <c r="Q7" s="1" t="s">
        <v>8</v>
      </c>
      <c r="R7">
        <f t="shared" si="4"/>
        <v>1847826.4311775821</v>
      </c>
      <c r="S7" s="6">
        <f t="shared" si="5"/>
        <v>-6.3971060380695999E-2</v>
      </c>
      <c r="U7" s="5">
        <v>0.85</v>
      </c>
      <c r="V7" s="5">
        <v>0.02</v>
      </c>
      <c r="W7" t="s">
        <v>29</v>
      </c>
      <c r="X7" s="5">
        <v>0.95</v>
      </c>
      <c r="Y7" t="s">
        <v>29</v>
      </c>
      <c r="Z7" t="s">
        <v>29</v>
      </c>
    </row>
    <row r="8" spans="1:26" x14ac:dyDescent="0.2">
      <c r="A8" s="2">
        <v>2023</v>
      </c>
      <c r="B8" s="1">
        <v>10.3</v>
      </c>
      <c r="C8" s="4">
        <v>209125640</v>
      </c>
      <c r="D8" s="4">
        <v>52258070</v>
      </c>
      <c r="E8" s="4">
        <v>15336227</v>
      </c>
      <c r="F8" s="4">
        <v>322982</v>
      </c>
      <c r="G8" s="1" t="s">
        <v>8</v>
      </c>
      <c r="H8" s="1" t="s">
        <v>8</v>
      </c>
      <c r="J8" s="4">
        <v>283105387</v>
      </c>
      <c r="L8">
        <f t="shared" si="0"/>
        <v>1463381.6620286067</v>
      </c>
      <c r="M8">
        <f t="shared" si="1"/>
        <v>282103.20172194694</v>
      </c>
      <c r="N8">
        <f t="shared" si="2"/>
        <v>118540.2207176753</v>
      </c>
      <c r="O8">
        <f t="shared" si="3"/>
        <v>1120.1136949768143</v>
      </c>
      <c r="P8" s="1" t="s">
        <v>8</v>
      </c>
      <c r="Q8" s="1" t="s">
        <v>8</v>
      </c>
      <c r="R8">
        <f t="shared" si="4"/>
        <v>1865145.1981632058</v>
      </c>
      <c r="S8" s="6">
        <f t="shared" si="5"/>
        <v>-7.3943137066728282E-2</v>
      </c>
      <c r="U8" s="5">
        <v>0.85</v>
      </c>
      <c r="V8" s="5">
        <v>0.02</v>
      </c>
      <c r="W8" t="s">
        <v>29</v>
      </c>
      <c r="X8" s="5">
        <v>0.95</v>
      </c>
      <c r="Y8" t="s">
        <v>29</v>
      </c>
      <c r="Z8" t="s">
        <v>29</v>
      </c>
    </row>
    <row r="9" spans="1:26" x14ac:dyDescent="0.2">
      <c r="A9" s="2">
        <v>2024</v>
      </c>
      <c r="B9" s="1">
        <v>10.4</v>
      </c>
      <c r="C9" s="4">
        <v>210459229</v>
      </c>
      <c r="D9" s="4">
        <v>52845074</v>
      </c>
      <c r="E9" s="4">
        <v>16283920</v>
      </c>
      <c r="F9" s="4">
        <v>391932</v>
      </c>
      <c r="G9" s="4">
        <v>61875</v>
      </c>
      <c r="H9" s="4">
        <v>9591</v>
      </c>
      <c r="J9" s="4">
        <v>286285448</v>
      </c>
      <c r="L9">
        <f t="shared" si="0"/>
        <v>1472713.6104557964</v>
      </c>
      <c r="M9">
        <f t="shared" si="1"/>
        <v>285272.00814406684</v>
      </c>
      <c r="N9">
        <f t="shared" si="2"/>
        <v>125865.3429522768</v>
      </c>
      <c r="O9">
        <f t="shared" si="3"/>
        <v>1359.2348821285791</v>
      </c>
      <c r="P9">
        <f>(G9*G$2*1000*$L$75)/1000000</f>
        <v>190.60551852022988</v>
      </c>
      <c r="Q9">
        <f t="shared" ref="Q9:Q35" si="6">H9*1000*H$2*$J$75/1000000</f>
        <v>0</v>
      </c>
      <c r="R9">
        <f t="shared" si="4"/>
        <v>1885400.8019527891</v>
      </c>
      <c r="S9" s="6">
        <f t="shared" si="5"/>
        <v>-8.5606232625395018E-2</v>
      </c>
      <c r="U9" s="5">
        <v>0.85</v>
      </c>
      <c r="V9" s="5">
        <v>0.02</v>
      </c>
      <c r="W9" t="s">
        <v>29</v>
      </c>
      <c r="X9" s="5">
        <v>0.95</v>
      </c>
      <c r="Y9" t="s">
        <v>29</v>
      </c>
      <c r="Z9" t="s">
        <v>29</v>
      </c>
    </row>
    <row r="10" spans="1:26" x14ac:dyDescent="0.2">
      <c r="A10" s="2">
        <v>2025</v>
      </c>
      <c r="B10" s="1">
        <v>10.6</v>
      </c>
      <c r="C10" s="4">
        <v>213046760</v>
      </c>
      <c r="D10" s="4">
        <v>53756306</v>
      </c>
      <c r="E10" s="4">
        <v>17392947</v>
      </c>
      <c r="F10" s="4">
        <v>478428</v>
      </c>
      <c r="G10" s="4">
        <v>78677</v>
      </c>
      <c r="H10" s="4">
        <v>11707</v>
      </c>
      <c r="J10" s="4">
        <v>291222001</v>
      </c>
      <c r="L10">
        <f t="shared" si="0"/>
        <v>1490820.1679077211</v>
      </c>
      <c r="M10">
        <f t="shared" si="1"/>
        <v>290191.08503901324</v>
      </c>
      <c r="N10">
        <f t="shared" si="2"/>
        <v>134437.4842854653</v>
      </c>
      <c r="O10">
        <f t="shared" si="3"/>
        <v>1659.2062556438664</v>
      </c>
      <c r="P10">
        <f t="shared" ref="P10:P35" si="7">(G10*G$2*1000*$L$75)/1000000</f>
        <v>242.36396574733138</v>
      </c>
      <c r="Q10">
        <f t="shared" si="6"/>
        <v>0</v>
      </c>
      <c r="R10">
        <f t="shared" si="4"/>
        <v>1917350.3074535909</v>
      </c>
      <c r="S10" s="6">
        <f t="shared" si="5"/>
        <v>-0.10400262996703469</v>
      </c>
      <c r="U10" s="5">
        <v>0.85</v>
      </c>
      <c r="V10" s="5">
        <v>0.02</v>
      </c>
      <c r="W10" t="s">
        <v>29</v>
      </c>
      <c r="X10" s="5">
        <v>0.95</v>
      </c>
      <c r="Y10" t="s">
        <v>29</v>
      </c>
      <c r="Z10" t="s">
        <v>29</v>
      </c>
    </row>
    <row r="11" spans="1:26" x14ac:dyDescent="0.2">
      <c r="A11" s="2">
        <v>2026</v>
      </c>
      <c r="B11" s="1">
        <v>10.8</v>
      </c>
      <c r="C11" s="4">
        <v>215179126</v>
      </c>
      <c r="D11" s="4">
        <v>54576609</v>
      </c>
      <c r="E11" s="4">
        <v>18541276</v>
      </c>
      <c r="F11" s="4">
        <v>582875</v>
      </c>
      <c r="G11" s="4">
        <v>99847</v>
      </c>
      <c r="H11" s="4">
        <v>14263</v>
      </c>
      <c r="J11" s="4">
        <v>295665950</v>
      </c>
      <c r="L11">
        <f t="shared" si="0"/>
        <v>1505741.6538677083</v>
      </c>
      <c r="M11">
        <f t="shared" si="1"/>
        <v>294619.3025886112</v>
      </c>
      <c r="N11">
        <f t="shared" si="2"/>
        <v>143313.40749112124</v>
      </c>
      <c r="O11">
        <f t="shared" si="3"/>
        <v>2021.4323707191443</v>
      </c>
      <c r="P11">
        <f t="shared" si="7"/>
        <v>307.57800739700031</v>
      </c>
      <c r="Q11">
        <f t="shared" si="6"/>
        <v>0</v>
      </c>
      <c r="R11">
        <f t="shared" si="4"/>
        <v>1946003.3743255567</v>
      </c>
      <c r="S11" s="6">
        <f t="shared" si="5"/>
        <v>-0.12050095114512094</v>
      </c>
      <c r="U11" s="5">
        <v>0.85</v>
      </c>
      <c r="V11" s="5">
        <v>0.02</v>
      </c>
      <c r="W11" t="s">
        <v>29</v>
      </c>
      <c r="X11" s="5">
        <v>0.95</v>
      </c>
      <c r="Y11" t="s">
        <v>29</v>
      </c>
      <c r="Z11" t="s">
        <v>29</v>
      </c>
    </row>
    <row r="12" spans="1:26" x14ac:dyDescent="0.2">
      <c r="A12" s="2">
        <v>2027</v>
      </c>
      <c r="B12" s="1">
        <v>10.9</v>
      </c>
      <c r="C12" s="4">
        <v>217059173</v>
      </c>
      <c r="D12" s="4">
        <v>55358238</v>
      </c>
      <c r="E12" s="4">
        <v>19747159</v>
      </c>
      <c r="F12" s="4">
        <v>709467</v>
      </c>
      <c r="G12" s="4">
        <v>126596</v>
      </c>
      <c r="H12" s="4">
        <v>17361</v>
      </c>
      <c r="J12" s="4">
        <v>299900385</v>
      </c>
      <c r="L12">
        <f t="shared" si="0"/>
        <v>1518897.5074663004</v>
      </c>
      <c r="M12">
        <f t="shared" si="1"/>
        <v>298838.74742189189</v>
      </c>
      <c r="N12">
        <f t="shared" si="2"/>
        <v>152634.19003950767</v>
      </c>
      <c r="O12">
        <f t="shared" si="3"/>
        <v>2460.4581767222803</v>
      </c>
      <c r="P12">
        <f t="shared" si="7"/>
        <v>389.9781207690832</v>
      </c>
      <c r="Q12">
        <f t="shared" si="6"/>
        <v>0</v>
      </c>
      <c r="R12">
        <f t="shared" si="4"/>
        <v>1973220.8812251913</v>
      </c>
      <c r="S12" s="6">
        <f t="shared" si="5"/>
        <v>-0.1361726826391163</v>
      </c>
      <c r="U12" s="5">
        <v>0.85</v>
      </c>
      <c r="V12" s="5">
        <v>0.02</v>
      </c>
      <c r="W12" t="s">
        <v>29</v>
      </c>
      <c r="X12" s="5">
        <v>0.95</v>
      </c>
      <c r="Y12" t="s">
        <v>29</v>
      </c>
      <c r="Z12" t="s">
        <v>29</v>
      </c>
    </row>
    <row r="13" spans="1:26" x14ac:dyDescent="0.2">
      <c r="A13" s="2">
        <v>2028</v>
      </c>
      <c r="B13" s="1">
        <v>11.1</v>
      </c>
      <c r="C13" s="4">
        <v>218155498</v>
      </c>
      <c r="D13" s="4">
        <v>55966377</v>
      </c>
      <c r="E13" s="4">
        <v>20962296</v>
      </c>
      <c r="F13" s="4">
        <v>860713</v>
      </c>
      <c r="G13" s="4">
        <v>159983</v>
      </c>
      <c r="H13" s="4">
        <v>21062</v>
      </c>
      <c r="J13" s="4">
        <v>303194945</v>
      </c>
      <c r="L13">
        <f t="shared" si="0"/>
        <v>1526569.1726940721</v>
      </c>
      <c r="M13">
        <f t="shared" si="1"/>
        <v>302121.64629266888</v>
      </c>
      <c r="N13">
        <f t="shared" si="2"/>
        <v>162026.50068946177</v>
      </c>
      <c r="O13">
        <f t="shared" si="3"/>
        <v>2984.9849797963316</v>
      </c>
      <c r="P13">
        <f t="shared" si="7"/>
        <v>492.82654819267788</v>
      </c>
      <c r="Q13">
        <f t="shared" si="6"/>
        <v>0</v>
      </c>
      <c r="R13">
        <f t="shared" si="4"/>
        <v>1994195.1312041916</v>
      </c>
      <c r="S13" s="6">
        <f t="shared" si="5"/>
        <v>-0.14824957179619225</v>
      </c>
      <c r="U13" s="5">
        <v>0.85</v>
      </c>
      <c r="V13" s="5">
        <v>0.02</v>
      </c>
      <c r="W13" t="s">
        <v>29</v>
      </c>
      <c r="X13" s="5">
        <v>0.95</v>
      </c>
      <c r="Y13" t="s">
        <v>29</v>
      </c>
      <c r="Z13" t="s">
        <v>29</v>
      </c>
    </row>
    <row r="14" spans="1:26" x14ac:dyDescent="0.2">
      <c r="A14" s="2">
        <v>2029</v>
      </c>
      <c r="B14" s="1">
        <v>11.2</v>
      </c>
      <c r="C14" s="4">
        <v>219533167</v>
      </c>
      <c r="D14" s="4">
        <v>56675146</v>
      </c>
      <c r="E14" s="4">
        <v>22289155</v>
      </c>
      <c r="F14" s="4">
        <v>1045936</v>
      </c>
      <c r="G14" s="4">
        <v>202512</v>
      </c>
      <c r="H14" s="4">
        <v>25594</v>
      </c>
      <c r="J14" s="4">
        <v>307034667</v>
      </c>
      <c r="L14">
        <f t="shared" si="0"/>
        <v>1536209.5761900053</v>
      </c>
      <c r="M14">
        <f t="shared" si="1"/>
        <v>305947.7731316674</v>
      </c>
      <c r="N14">
        <f t="shared" si="2"/>
        <v>172282.35819086898</v>
      </c>
      <c r="O14">
        <f t="shared" si="3"/>
        <v>3627.3452937602387</v>
      </c>
      <c r="P14">
        <f t="shared" si="7"/>
        <v>623.83684471222296</v>
      </c>
      <c r="Q14">
        <f t="shared" si="6"/>
        <v>0</v>
      </c>
      <c r="R14">
        <f t="shared" si="4"/>
        <v>2018690.8896510142</v>
      </c>
      <c r="S14" s="6">
        <f t="shared" si="5"/>
        <v>-0.16235413142893118</v>
      </c>
      <c r="U14" s="5">
        <v>0.85</v>
      </c>
      <c r="V14" s="5">
        <v>0.02</v>
      </c>
      <c r="W14" t="s">
        <v>29</v>
      </c>
      <c r="X14" s="5">
        <v>0.95</v>
      </c>
      <c r="Y14" t="s">
        <v>29</v>
      </c>
      <c r="Z14" t="s">
        <v>29</v>
      </c>
    </row>
    <row r="15" spans="1:26" x14ac:dyDescent="0.2">
      <c r="A15" s="2">
        <v>2030</v>
      </c>
      <c r="B15" s="1">
        <v>11.3</v>
      </c>
      <c r="C15" s="4">
        <v>220657217</v>
      </c>
      <c r="D15" s="4">
        <v>57350123</v>
      </c>
      <c r="E15" s="4">
        <v>23682340</v>
      </c>
      <c r="F15" s="4">
        <v>1270071</v>
      </c>
      <c r="G15" s="4">
        <v>256155</v>
      </c>
      <c r="H15" s="4">
        <v>31079</v>
      </c>
      <c r="J15" s="4">
        <v>310691318</v>
      </c>
      <c r="L15">
        <f t="shared" si="0"/>
        <v>1544075.2504191592</v>
      </c>
      <c r="M15">
        <f t="shared" si="1"/>
        <v>309591.48161130841</v>
      </c>
      <c r="N15">
        <f t="shared" si="2"/>
        <v>183050.87755358801</v>
      </c>
      <c r="O15">
        <f t="shared" si="3"/>
        <v>4404.6538837857761</v>
      </c>
      <c r="P15">
        <f t="shared" si="7"/>
        <v>789.08374297453713</v>
      </c>
      <c r="Q15">
        <f t="shared" si="6"/>
        <v>0</v>
      </c>
      <c r="R15">
        <f t="shared" si="4"/>
        <v>2041911.3472108159</v>
      </c>
      <c r="S15" s="6">
        <f t="shared" si="5"/>
        <v>-0.17572437791722417</v>
      </c>
      <c r="U15" s="5">
        <v>0.85</v>
      </c>
      <c r="V15" s="5">
        <v>0.02</v>
      </c>
      <c r="W15" t="s">
        <v>29</v>
      </c>
      <c r="X15" s="5">
        <v>0.95</v>
      </c>
      <c r="Y15" t="s">
        <v>29</v>
      </c>
      <c r="Z15" t="s">
        <v>29</v>
      </c>
    </row>
    <row r="16" spans="1:26" x14ac:dyDescent="0.2">
      <c r="A16" s="2">
        <v>2031</v>
      </c>
      <c r="B16" s="1">
        <v>11.4</v>
      </c>
      <c r="C16" s="4">
        <v>221157572</v>
      </c>
      <c r="D16" s="4">
        <v>57896780</v>
      </c>
      <c r="E16" s="4">
        <v>25103482</v>
      </c>
      <c r="F16" s="4">
        <v>1538612</v>
      </c>
      <c r="G16" s="4">
        <v>323245</v>
      </c>
      <c r="H16" s="4">
        <v>37650</v>
      </c>
      <c r="J16" s="4">
        <v>313652805</v>
      </c>
      <c r="L16">
        <f t="shared" si="0"/>
        <v>1547576.544337515</v>
      </c>
      <c r="M16">
        <f t="shared" si="1"/>
        <v>312542.48401043477</v>
      </c>
      <c r="N16">
        <f t="shared" si="2"/>
        <v>194035.48845894029</v>
      </c>
      <c r="O16">
        <f t="shared" si="3"/>
        <v>5335.9641480195987</v>
      </c>
      <c r="P16">
        <f t="shared" si="7"/>
        <v>995.75403368196703</v>
      </c>
      <c r="Q16">
        <f t="shared" si="6"/>
        <v>0</v>
      </c>
      <c r="R16">
        <f t="shared" si="4"/>
        <v>2060486.2349885916</v>
      </c>
      <c r="S16" s="6">
        <f t="shared" si="5"/>
        <v>-0.1864197239258738</v>
      </c>
      <c r="U16" s="5">
        <v>0.85</v>
      </c>
      <c r="V16" s="5">
        <v>0.02</v>
      </c>
      <c r="W16" t="s">
        <v>29</v>
      </c>
      <c r="X16" s="5">
        <v>0.95</v>
      </c>
      <c r="Y16" t="s">
        <v>29</v>
      </c>
      <c r="Z16" t="s">
        <v>29</v>
      </c>
    </row>
    <row r="17" spans="1:26" x14ac:dyDescent="0.2">
      <c r="A17" s="2">
        <v>2032</v>
      </c>
      <c r="B17" s="1">
        <v>11.5</v>
      </c>
      <c r="C17" s="4">
        <v>221301677</v>
      </c>
      <c r="D17" s="4">
        <v>58386191</v>
      </c>
      <c r="E17" s="4">
        <v>26581470</v>
      </c>
      <c r="F17" s="4">
        <v>1861942</v>
      </c>
      <c r="G17" s="4">
        <v>407472</v>
      </c>
      <c r="H17" s="4">
        <v>45562</v>
      </c>
      <c r="J17" s="4">
        <v>316304164</v>
      </c>
      <c r="L17">
        <f t="shared" si="0"/>
        <v>1548584.9362994314</v>
      </c>
      <c r="M17">
        <f t="shared" si="1"/>
        <v>315184.45701207721</v>
      </c>
      <c r="N17">
        <f t="shared" si="2"/>
        <v>205459.48627392281</v>
      </c>
      <c r="O17">
        <f t="shared" si="3"/>
        <v>6457.28472005412</v>
      </c>
      <c r="P17">
        <f t="shared" si="7"/>
        <v>1255.2147368480826</v>
      </c>
      <c r="Q17">
        <f t="shared" si="6"/>
        <v>0</v>
      </c>
      <c r="R17">
        <f t="shared" si="4"/>
        <v>2076941.3790423335</v>
      </c>
      <c r="S17" s="6">
        <f t="shared" si="5"/>
        <v>-0.19589452998567203</v>
      </c>
      <c r="U17" s="5">
        <v>0.85</v>
      </c>
      <c r="V17" s="5">
        <v>0.02</v>
      </c>
      <c r="W17" t="s">
        <v>29</v>
      </c>
      <c r="X17" s="5">
        <v>0.95</v>
      </c>
      <c r="Y17" t="s">
        <v>29</v>
      </c>
      <c r="Z17" t="s">
        <v>29</v>
      </c>
    </row>
    <row r="18" spans="1:26" x14ac:dyDescent="0.2">
      <c r="A18" s="2">
        <v>2033</v>
      </c>
      <c r="B18" s="1">
        <v>11.6</v>
      </c>
      <c r="C18" s="4">
        <v>221460011</v>
      </c>
      <c r="D18" s="4">
        <v>58919344</v>
      </c>
      <c r="E18" s="4">
        <v>28165409</v>
      </c>
      <c r="F18" s="4">
        <v>2254733</v>
      </c>
      <c r="G18" s="4">
        <v>513991</v>
      </c>
      <c r="H18" s="4">
        <v>55173</v>
      </c>
      <c r="J18" s="4">
        <v>319192495</v>
      </c>
      <c r="L18">
        <f t="shared" si="0"/>
        <v>1549692.8973895956</v>
      </c>
      <c r="M18">
        <f t="shared" si="1"/>
        <v>318062.56116532406</v>
      </c>
      <c r="N18">
        <f t="shared" si="2"/>
        <v>217702.42442705095</v>
      </c>
      <c r="O18">
        <f t="shared" si="3"/>
        <v>7819.4986464142212</v>
      </c>
      <c r="P18">
        <f t="shared" si="7"/>
        <v>1583.3457950663676</v>
      </c>
      <c r="Q18">
        <f t="shared" si="6"/>
        <v>0</v>
      </c>
      <c r="R18">
        <f t="shared" si="4"/>
        <v>2094860.7274234511</v>
      </c>
      <c r="S18" s="6">
        <f t="shared" si="5"/>
        <v>-0.20621241903450382</v>
      </c>
      <c r="U18" s="5">
        <v>0.85</v>
      </c>
      <c r="V18" s="5">
        <v>0.02</v>
      </c>
      <c r="W18" t="s">
        <v>29</v>
      </c>
      <c r="X18" s="5">
        <v>0.95</v>
      </c>
      <c r="Y18" t="s">
        <v>29</v>
      </c>
      <c r="Z18" t="s">
        <v>29</v>
      </c>
    </row>
    <row r="19" spans="1:26" x14ac:dyDescent="0.2">
      <c r="A19" s="2">
        <v>2034</v>
      </c>
      <c r="B19" s="1">
        <v>11.8</v>
      </c>
      <c r="C19" s="4">
        <v>221772830</v>
      </c>
      <c r="D19" s="4">
        <v>59539501</v>
      </c>
      <c r="E19" s="4">
        <v>29884958</v>
      </c>
      <c r="F19" s="4">
        <v>2734159</v>
      </c>
      <c r="G19" s="4">
        <v>649252</v>
      </c>
      <c r="H19" s="4">
        <v>66905</v>
      </c>
      <c r="J19" s="4">
        <v>322552160</v>
      </c>
      <c r="L19">
        <f t="shared" si="0"/>
        <v>1551881.8857323648</v>
      </c>
      <c r="M19">
        <f t="shared" si="1"/>
        <v>321410.33645190229</v>
      </c>
      <c r="N19">
        <f t="shared" si="2"/>
        <v>230993.54994278945</v>
      </c>
      <c r="O19">
        <f t="shared" si="3"/>
        <v>9482.1660035051864</v>
      </c>
      <c r="P19">
        <f t="shared" si="7"/>
        <v>2000.0163896613547</v>
      </c>
      <c r="Q19">
        <f t="shared" si="6"/>
        <v>0</v>
      </c>
      <c r="R19">
        <f t="shared" si="4"/>
        <v>2115767.9545202232</v>
      </c>
      <c r="S19" s="6">
        <f t="shared" si="5"/>
        <v>-0.21825071668435214</v>
      </c>
      <c r="U19" s="5">
        <v>0.85</v>
      </c>
      <c r="V19" s="5">
        <v>0.02</v>
      </c>
      <c r="W19" t="s">
        <v>29</v>
      </c>
      <c r="X19" s="5">
        <v>0.95</v>
      </c>
      <c r="Y19" t="s">
        <v>29</v>
      </c>
      <c r="Z19" t="s">
        <v>29</v>
      </c>
    </row>
    <row r="20" spans="1:26" x14ac:dyDescent="0.2">
      <c r="A20" s="2">
        <v>2035</v>
      </c>
      <c r="B20" s="1">
        <v>11.8</v>
      </c>
      <c r="C20" s="4">
        <v>221353926</v>
      </c>
      <c r="D20" s="4">
        <v>60014241</v>
      </c>
      <c r="E20" s="4">
        <v>31629409</v>
      </c>
      <c r="F20" s="4">
        <v>3307151</v>
      </c>
      <c r="G20" s="4">
        <v>818036</v>
      </c>
      <c r="H20" s="4">
        <v>80926</v>
      </c>
      <c r="J20" s="4">
        <v>325124040</v>
      </c>
      <c r="L20">
        <f t="shared" si="0"/>
        <v>1548950.5549220899</v>
      </c>
      <c r="M20">
        <f t="shared" si="1"/>
        <v>323973.11142590106</v>
      </c>
      <c r="N20">
        <f t="shared" si="2"/>
        <v>244477.15360692205</v>
      </c>
      <c r="O20">
        <f t="shared" si="3"/>
        <v>11469.323759392988</v>
      </c>
      <c r="P20">
        <f t="shared" si="7"/>
        <v>2519.9543587590269</v>
      </c>
      <c r="Q20">
        <f t="shared" si="6"/>
        <v>0</v>
      </c>
      <c r="R20">
        <f t="shared" si="4"/>
        <v>2131390.0980730648</v>
      </c>
      <c r="S20" s="6">
        <f t="shared" si="5"/>
        <v>-0.22724588439106341</v>
      </c>
      <c r="U20" s="5">
        <v>0.85</v>
      </c>
      <c r="V20" s="5">
        <v>0.02</v>
      </c>
      <c r="W20" t="s">
        <v>29</v>
      </c>
      <c r="X20" s="5">
        <v>0.95</v>
      </c>
      <c r="Y20" t="s">
        <v>29</v>
      </c>
      <c r="Z20" t="s">
        <v>29</v>
      </c>
    </row>
    <row r="21" spans="1:26" x14ac:dyDescent="0.2">
      <c r="A21" s="2">
        <v>2036</v>
      </c>
      <c r="B21" s="1">
        <v>12</v>
      </c>
      <c r="C21" s="4">
        <v>221082116</v>
      </c>
      <c r="D21" s="4">
        <v>60586135</v>
      </c>
      <c r="E21" s="4">
        <v>33527356</v>
      </c>
      <c r="F21" s="4">
        <v>4006400</v>
      </c>
      <c r="G21" s="4">
        <v>1032289</v>
      </c>
      <c r="H21" s="4">
        <v>98036</v>
      </c>
      <c r="J21" s="4">
        <v>328222249</v>
      </c>
      <c r="L21">
        <f t="shared" si="0"/>
        <v>1547048.5319584974</v>
      </c>
      <c r="M21">
        <f t="shared" si="1"/>
        <v>327060.34997959377</v>
      </c>
      <c r="N21">
        <f t="shared" si="2"/>
        <v>259147.19313427451</v>
      </c>
      <c r="O21">
        <f t="shared" si="3"/>
        <v>13894.345528714013</v>
      </c>
      <c r="P21">
        <f t="shared" si="7"/>
        <v>3179.9592744683578</v>
      </c>
      <c r="Q21">
        <f t="shared" si="6"/>
        <v>0</v>
      </c>
      <c r="R21">
        <f t="shared" si="4"/>
        <v>2150330.3798755477</v>
      </c>
      <c r="S21" s="6">
        <f t="shared" si="5"/>
        <v>-0.23815162281610291</v>
      </c>
      <c r="U21" s="5">
        <v>0.85</v>
      </c>
      <c r="V21" s="5">
        <v>0.02</v>
      </c>
      <c r="W21" t="s">
        <v>29</v>
      </c>
      <c r="X21" s="5">
        <v>0.95</v>
      </c>
      <c r="Y21" t="s">
        <v>29</v>
      </c>
      <c r="Z21" t="s">
        <v>29</v>
      </c>
    </row>
    <row r="22" spans="1:26" x14ac:dyDescent="0.2">
      <c r="A22" s="2">
        <v>2037</v>
      </c>
      <c r="B22" s="1">
        <v>12.1</v>
      </c>
      <c r="C22" s="4">
        <v>220496454</v>
      </c>
      <c r="D22" s="4">
        <v>61138068</v>
      </c>
      <c r="E22" s="4">
        <v>35524425</v>
      </c>
      <c r="F22" s="4">
        <v>4851477</v>
      </c>
      <c r="G22" s="4">
        <v>1302116</v>
      </c>
      <c r="H22" s="4">
        <v>118716</v>
      </c>
      <c r="J22" s="4">
        <v>331212313</v>
      </c>
      <c r="L22">
        <f t="shared" si="0"/>
        <v>1542950.2921111647</v>
      </c>
      <c r="M22">
        <f t="shared" si="1"/>
        <v>330039.83365428739</v>
      </c>
      <c r="N22">
        <f t="shared" si="2"/>
        <v>274583.38875451585</v>
      </c>
      <c r="O22">
        <f t="shared" si="3"/>
        <v>16825.104273814115</v>
      </c>
      <c r="P22">
        <f t="shared" si="7"/>
        <v>4011.1595208644467</v>
      </c>
      <c r="Q22">
        <f t="shared" si="6"/>
        <v>0</v>
      </c>
      <c r="R22">
        <f t="shared" si="4"/>
        <v>2168409.7783146468</v>
      </c>
      <c r="S22" s="6">
        <f t="shared" si="5"/>
        <v>-0.24856166804748026</v>
      </c>
      <c r="U22" s="5">
        <v>0.85</v>
      </c>
      <c r="V22" s="5">
        <v>0.02</v>
      </c>
      <c r="W22" t="s">
        <v>29</v>
      </c>
      <c r="X22" s="5">
        <v>0.95</v>
      </c>
      <c r="Y22" t="s">
        <v>29</v>
      </c>
      <c r="Z22" t="s">
        <v>29</v>
      </c>
    </row>
    <row r="23" spans="1:26" x14ac:dyDescent="0.2">
      <c r="A23" s="2">
        <v>2038</v>
      </c>
      <c r="B23" s="1">
        <v>12.2</v>
      </c>
      <c r="C23" s="4">
        <v>219903498</v>
      </c>
      <c r="D23" s="4">
        <v>61764329</v>
      </c>
      <c r="E23" s="4">
        <v>37682732</v>
      </c>
      <c r="F23" s="4">
        <v>5881407</v>
      </c>
      <c r="G23" s="4">
        <v>1644318</v>
      </c>
      <c r="H23" s="4">
        <v>143918</v>
      </c>
      <c r="J23" s="4">
        <v>334605051</v>
      </c>
      <c r="L23">
        <f t="shared" si="0"/>
        <v>1538801.0116270026</v>
      </c>
      <c r="M23">
        <f t="shared" si="1"/>
        <v>333420.55998447124</v>
      </c>
      <c r="N23">
        <f t="shared" si="2"/>
        <v>291265.86144851701</v>
      </c>
      <c r="O23">
        <f t="shared" si="3"/>
        <v>20396.94015899493</v>
      </c>
      <c r="P23">
        <f t="shared" si="7"/>
        <v>5065.3104646811698</v>
      </c>
      <c r="Q23">
        <f t="shared" si="6"/>
        <v>0</v>
      </c>
      <c r="R23">
        <f t="shared" si="4"/>
        <v>2188949.6836836669</v>
      </c>
      <c r="S23" s="6">
        <f t="shared" si="5"/>
        <v>-0.26038846331724419</v>
      </c>
      <c r="U23" s="5">
        <v>0.85</v>
      </c>
      <c r="V23" s="5">
        <v>0.02</v>
      </c>
      <c r="W23" t="s">
        <v>29</v>
      </c>
      <c r="X23" s="5">
        <v>0.95</v>
      </c>
      <c r="Y23" t="s">
        <v>29</v>
      </c>
      <c r="Z23" t="s">
        <v>29</v>
      </c>
    </row>
    <row r="24" spans="1:26" x14ac:dyDescent="0.2">
      <c r="A24" s="2">
        <v>2039</v>
      </c>
      <c r="B24" s="1">
        <v>12.3</v>
      </c>
      <c r="C24" s="4">
        <v>218665493</v>
      </c>
      <c r="D24" s="4">
        <v>62297120</v>
      </c>
      <c r="E24" s="4">
        <v>39908180</v>
      </c>
      <c r="F24" s="4">
        <v>7118569</v>
      </c>
      <c r="G24" s="4">
        <v>2073128</v>
      </c>
      <c r="H24" s="4">
        <v>174191</v>
      </c>
      <c r="J24" s="4">
        <v>337491422</v>
      </c>
      <c r="L24">
        <f t="shared" si="0"/>
        <v>1530137.9236646669</v>
      </c>
      <c r="M24">
        <f t="shared" si="1"/>
        <v>336296.7099637689</v>
      </c>
      <c r="N24">
        <f t="shared" si="2"/>
        <v>308467.29548543552</v>
      </c>
      <c r="O24">
        <f t="shared" si="3"/>
        <v>24687.464395964504</v>
      </c>
      <c r="P24">
        <f t="shared" si="7"/>
        <v>6386.2567660413288</v>
      </c>
      <c r="Q24">
        <f t="shared" si="6"/>
        <v>0</v>
      </c>
      <c r="R24">
        <f t="shared" si="4"/>
        <v>2205975.6502758772</v>
      </c>
      <c r="S24" s="6">
        <f t="shared" si="5"/>
        <v>-0.27019194670912094</v>
      </c>
      <c r="U24" s="5">
        <v>0.85</v>
      </c>
      <c r="V24" s="5">
        <v>0.02</v>
      </c>
      <c r="W24" t="s">
        <v>29</v>
      </c>
      <c r="X24" s="5">
        <v>0.95</v>
      </c>
      <c r="Y24" t="s">
        <v>29</v>
      </c>
      <c r="Z24" t="s">
        <v>29</v>
      </c>
    </row>
    <row r="25" spans="1:26" x14ac:dyDescent="0.2">
      <c r="A25" s="2">
        <v>2040</v>
      </c>
      <c r="B25" s="1">
        <v>12.4</v>
      </c>
      <c r="C25" s="4">
        <v>217306110</v>
      </c>
      <c r="D25" s="4">
        <v>62896769</v>
      </c>
      <c r="E25" s="4">
        <v>42306937</v>
      </c>
      <c r="F25" s="4">
        <v>8624508</v>
      </c>
      <c r="G25" s="4">
        <v>2616353</v>
      </c>
      <c r="H25" s="4">
        <v>211041</v>
      </c>
      <c r="J25" s="4">
        <v>340739988</v>
      </c>
      <c r="L25">
        <f t="shared" si="0"/>
        <v>1520625.478639402</v>
      </c>
      <c r="M25">
        <f t="shared" si="1"/>
        <v>339533.7775173423</v>
      </c>
      <c r="N25">
        <f t="shared" si="2"/>
        <v>327008.30848870351</v>
      </c>
      <c r="O25">
        <f t="shared" si="3"/>
        <v>29910.117354023118</v>
      </c>
      <c r="P25">
        <f t="shared" si="7"/>
        <v>8059.657700152874</v>
      </c>
      <c r="Q25">
        <f t="shared" si="6"/>
        <v>0</v>
      </c>
      <c r="R25">
        <f t="shared" si="4"/>
        <v>2225137.3396996241</v>
      </c>
      <c r="S25" s="6">
        <f t="shared" si="5"/>
        <v>-0.28122517075596876</v>
      </c>
      <c r="U25" s="5">
        <v>0.85</v>
      </c>
      <c r="V25" s="5">
        <v>0.02</v>
      </c>
      <c r="W25" t="s">
        <v>29</v>
      </c>
      <c r="X25" s="5">
        <v>0.95</v>
      </c>
      <c r="Y25" t="s">
        <v>29</v>
      </c>
      <c r="Z25" t="s">
        <v>29</v>
      </c>
    </row>
    <row r="26" spans="1:26" x14ac:dyDescent="0.2">
      <c r="A26" s="2">
        <v>2041</v>
      </c>
      <c r="B26" s="1">
        <v>12.5</v>
      </c>
      <c r="C26" s="4">
        <v>215167593</v>
      </c>
      <c r="D26" s="4">
        <v>63388687</v>
      </c>
      <c r="E26" s="4">
        <v>44769712</v>
      </c>
      <c r="F26" s="4">
        <v>10430353</v>
      </c>
      <c r="G26" s="4">
        <v>3296020</v>
      </c>
      <c r="H26" s="4">
        <v>255230</v>
      </c>
      <c r="J26" s="4">
        <v>343404925</v>
      </c>
      <c r="L26">
        <f t="shared" si="0"/>
        <v>1505660.9503217051</v>
      </c>
      <c r="M26">
        <f t="shared" si="1"/>
        <v>342189.28398332268</v>
      </c>
      <c r="N26">
        <f t="shared" si="2"/>
        <v>346044.14383973036</v>
      </c>
      <c r="O26">
        <f t="shared" si="3"/>
        <v>36172.855573197579</v>
      </c>
      <c r="P26">
        <f t="shared" si="7"/>
        <v>10153.367291362394</v>
      </c>
      <c r="Q26">
        <f t="shared" si="6"/>
        <v>0</v>
      </c>
      <c r="R26">
        <f t="shared" si="4"/>
        <v>2240220.6010093181</v>
      </c>
      <c r="S26" s="6">
        <f t="shared" si="5"/>
        <v>-0.28991005222475863</v>
      </c>
      <c r="U26" s="5">
        <v>0.85</v>
      </c>
      <c r="V26" s="5">
        <v>0.02</v>
      </c>
      <c r="W26" t="s">
        <v>29</v>
      </c>
      <c r="X26" s="5">
        <v>0.95</v>
      </c>
      <c r="Y26" t="s">
        <v>29</v>
      </c>
      <c r="Z26" t="s">
        <v>29</v>
      </c>
    </row>
    <row r="27" spans="1:26" x14ac:dyDescent="0.2">
      <c r="A27" s="2">
        <v>2042</v>
      </c>
      <c r="B27" s="1">
        <v>12.6</v>
      </c>
      <c r="C27" s="4">
        <v>212824675</v>
      </c>
      <c r="D27" s="4">
        <v>63958534</v>
      </c>
      <c r="E27" s="4">
        <v>47430789</v>
      </c>
      <c r="F27" s="4">
        <v>12628942</v>
      </c>
      <c r="G27" s="4">
        <v>4157063</v>
      </c>
      <c r="H27" s="4">
        <v>309030</v>
      </c>
      <c r="J27" s="4">
        <v>346492042</v>
      </c>
      <c r="L27">
        <f t="shared" si="0"/>
        <v>1489266.1015751015</v>
      </c>
      <c r="M27">
        <f t="shared" si="1"/>
        <v>345265.47227714304</v>
      </c>
      <c r="N27">
        <f t="shared" si="2"/>
        <v>366612.73968320148</v>
      </c>
      <c r="O27">
        <f t="shared" si="3"/>
        <v>43797.644720968594</v>
      </c>
      <c r="P27">
        <f t="shared" si="7"/>
        <v>12805.804422404244</v>
      </c>
      <c r="Q27">
        <f t="shared" si="6"/>
        <v>0</v>
      </c>
      <c r="R27">
        <f t="shared" si="4"/>
        <v>2257747.7626788188</v>
      </c>
      <c r="S27" s="6">
        <f t="shared" si="5"/>
        <v>-0.30000212173535545</v>
      </c>
      <c r="U27" s="5">
        <v>0.85</v>
      </c>
      <c r="V27" s="5">
        <v>0.02</v>
      </c>
      <c r="W27" t="s">
        <v>29</v>
      </c>
      <c r="X27" s="5">
        <v>0.95</v>
      </c>
      <c r="Y27" t="s">
        <v>29</v>
      </c>
      <c r="Z27" t="s">
        <v>29</v>
      </c>
    </row>
    <row r="28" spans="1:26" x14ac:dyDescent="0.2">
      <c r="A28" s="2">
        <v>2043</v>
      </c>
      <c r="B28" s="1">
        <v>12.7</v>
      </c>
      <c r="C28" s="4">
        <v>209307092</v>
      </c>
      <c r="D28" s="4">
        <v>64336543</v>
      </c>
      <c r="E28" s="4">
        <v>50096671</v>
      </c>
      <c r="F28" s="4">
        <v>15244299</v>
      </c>
      <c r="G28" s="4">
        <v>5227040</v>
      </c>
      <c r="H28" s="4">
        <v>373028</v>
      </c>
      <c r="J28" s="4">
        <v>348539888</v>
      </c>
      <c r="L28">
        <f t="shared" si="0"/>
        <v>1464651.3940869921</v>
      </c>
      <c r="M28">
        <f t="shared" si="1"/>
        <v>347306.06713990227</v>
      </c>
      <c r="N28">
        <f t="shared" si="2"/>
        <v>387218.47541515675</v>
      </c>
      <c r="O28">
        <f t="shared" si="3"/>
        <v>52867.800930768135</v>
      </c>
      <c r="P28">
        <f t="shared" si="7"/>
        <v>16101.861325672444</v>
      </c>
      <c r="Q28">
        <f t="shared" si="6"/>
        <v>0</v>
      </c>
      <c r="R28">
        <f t="shared" si="4"/>
        <v>2268145.5988984918</v>
      </c>
      <c r="S28" s="6">
        <f t="shared" si="5"/>
        <v>-0.30598915419773909</v>
      </c>
      <c r="U28" s="5">
        <v>0.85</v>
      </c>
      <c r="V28" s="5">
        <v>0.02</v>
      </c>
      <c r="W28" t="s">
        <v>29</v>
      </c>
      <c r="X28" s="5">
        <v>0.95</v>
      </c>
      <c r="Y28" t="s">
        <v>29</v>
      </c>
      <c r="Z28" t="s">
        <v>29</v>
      </c>
    </row>
    <row r="29" spans="1:26" x14ac:dyDescent="0.2">
      <c r="A29" s="2">
        <v>2044</v>
      </c>
      <c r="B29" s="1">
        <v>12.8</v>
      </c>
      <c r="C29" s="4">
        <v>205632808</v>
      </c>
      <c r="D29" s="4">
        <v>64857957</v>
      </c>
      <c r="E29" s="4">
        <v>53027812</v>
      </c>
      <c r="F29" s="4">
        <v>18441415</v>
      </c>
      <c r="G29" s="4">
        <v>6586753</v>
      </c>
      <c r="H29" s="4">
        <v>451261</v>
      </c>
      <c r="J29" s="4">
        <v>351364619</v>
      </c>
      <c r="L29">
        <f t="shared" si="0"/>
        <v>1438940.1526214066</v>
      </c>
      <c r="M29">
        <f t="shared" si="1"/>
        <v>350120.80099483894</v>
      </c>
      <c r="N29">
        <f t="shared" si="2"/>
        <v>409874.51076822163</v>
      </c>
      <c r="O29">
        <f t="shared" si="3"/>
        <v>63955.519181412128</v>
      </c>
      <c r="P29">
        <f t="shared" si="7"/>
        <v>20290.448015025126</v>
      </c>
      <c r="Q29">
        <f t="shared" si="6"/>
        <v>0</v>
      </c>
      <c r="R29">
        <f t="shared" si="4"/>
        <v>2283181.4315809049</v>
      </c>
      <c r="S29" s="6">
        <f t="shared" si="5"/>
        <v>-0.31464672645284453</v>
      </c>
      <c r="U29" s="5">
        <v>0.85</v>
      </c>
      <c r="V29" s="5">
        <v>0.02</v>
      </c>
      <c r="W29" t="s">
        <v>29</v>
      </c>
      <c r="X29" s="5">
        <v>0.95</v>
      </c>
      <c r="Y29" t="s">
        <v>29</v>
      </c>
      <c r="Z29" t="s">
        <v>29</v>
      </c>
    </row>
    <row r="30" spans="1:26" x14ac:dyDescent="0.2">
      <c r="A30" s="2">
        <v>2045</v>
      </c>
      <c r="B30" s="1">
        <v>12.9</v>
      </c>
      <c r="C30" s="4">
        <v>201484133</v>
      </c>
      <c r="D30" s="4">
        <v>65466950</v>
      </c>
      <c r="E30" s="4">
        <v>56202011</v>
      </c>
      <c r="F30" s="4">
        <v>22337488</v>
      </c>
      <c r="G30" s="4">
        <v>8310751</v>
      </c>
      <c r="H30" s="4">
        <v>546598</v>
      </c>
      <c r="J30" s="4">
        <v>354663809</v>
      </c>
      <c r="L30">
        <f t="shared" si="0"/>
        <v>1409909.3034308602</v>
      </c>
      <c r="M30">
        <f t="shared" si="1"/>
        <v>353408.30998868909</v>
      </c>
      <c r="N30">
        <f t="shared" si="2"/>
        <v>434409.24477169092</v>
      </c>
      <c r="O30">
        <f t="shared" si="3"/>
        <v>77467.246534420658</v>
      </c>
      <c r="P30">
        <f t="shared" si="7"/>
        <v>25601.212180161925</v>
      </c>
      <c r="Q30">
        <f t="shared" si="6"/>
        <v>0</v>
      </c>
      <c r="R30">
        <f t="shared" si="4"/>
        <v>2300795.3169058226</v>
      </c>
      <c r="S30" s="6">
        <f t="shared" si="5"/>
        <v>-0.32478873109698947</v>
      </c>
      <c r="U30" s="5">
        <v>0.85</v>
      </c>
      <c r="V30" s="5">
        <v>0.02</v>
      </c>
      <c r="W30" t="s">
        <v>29</v>
      </c>
      <c r="X30" s="5">
        <v>0.95</v>
      </c>
      <c r="Y30" t="s">
        <v>29</v>
      </c>
      <c r="Z30" t="s">
        <v>29</v>
      </c>
    </row>
    <row r="31" spans="1:26" x14ac:dyDescent="0.2">
      <c r="A31" s="2">
        <v>2046</v>
      </c>
      <c r="B31" s="1">
        <v>13</v>
      </c>
      <c r="C31" s="4">
        <v>196361489</v>
      </c>
      <c r="D31" s="4">
        <v>66049493</v>
      </c>
      <c r="E31" s="4">
        <v>59537217</v>
      </c>
      <c r="F31" s="4">
        <v>27043504</v>
      </c>
      <c r="G31" s="4">
        <v>10480878</v>
      </c>
      <c r="H31" s="4">
        <v>661754</v>
      </c>
      <c r="J31" s="4">
        <v>357819704</v>
      </c>
      <c r="L31">
        <f t="shared" si="0"/>
        <v>1374062.989747369</v>
      </c>
      <c r="M31">
        <f t="shared" si="1"/>
        <v>356553.03472576238</v>
      </c>
      <c r="N31">
        <f t="shared" si="2"/>
        <v>460188.47035167977</v>
      </c>
      <c r="O31">
        <f t="shared" si="3"/>
        <v>93787.88660222631</v>
      </c>
      <c r="P31">
        <f t="shared" si="7"/>
        <v>32286.273708885172</v>
      </c>
      <c r="Q31">
        <f t="shared" si="6"/>
        <v>0</v>
      </c>
      <c r="R31">
        <f t="shared" si="4"/>
        <v>2316878.6551359226</v>
      </c>
      <c r="S31" s="6">
        <f t="shared" si="5"/>
        <v>-0.33404945285224419</v>
      </c>
      <c r="U31" s="5">
        <v>0.85</v>
      </c>
      <c r="V31" s="5">
        <v>0.02</v>
      </c>
      <c r="W31" t="s">
        <v>29</v>
      </c>
      <c r="X31" s="5">
        <v>0.95</v>
      </c>
      <c r="Y31" t="s">
        <v>29</v>
      </c>
      <c r="Z31" t="s">
        <v>29</v>
      </c>
    </row>
    <row r="32" spans="1:26" x14ac:dyDescent="0.2">
      <c r="A32" s="2">
        <v>2047</v>
      </c>
      <c r="B32" s="1">
        <v>13.1</v>
      </c>
      <c r="C32" s="4">
        <v>189882965</v>
      </c>
      <c r="D32" s="4">
        <v>66526253</v>
      </c>
      <c r="E32" s="4">
        <v>62965319</v>
      </c>
      <c r="F32" s="4">
        <v>32686452</v>
      </c>
      <c r="G32" s="4">
        <v>13195664</v>
      </c>
      <c r="H32" s="4">
        <v>799837</v>
      </c>
      <c r="J32" s="4">
        <v>360402528</v>
      </c>
      <c r="L32">
        <f t="shared" si="0"/>
        <v>1328728.7436998149</v>
      </c>
      <c r="M32">
        <f t="shared" si="1"/>
        <v>359126.71420632786</v>
      </c>
      <c r="N32">
        <f t="shared" si="2"/>
        <v>486685.7286227463</v>
      </c>
      <c r="O32">
        <f t="shared" si="3"/>
        <v>113357.84200172854</v>
      </c>
      <c r="P32">
        <f t="shared" si="7"/>
        <v>40649.153599009791</v>
      </c>
      <c r="Q32">
        <f t="shared" si="6"/>
        <v>0</v>
      </c>
      <c r="R32">
        <f t="shared" si="4"/>
        <v>2328548.1821296276</v>
      </c>
      <c r="S32" s="6">
        <f t="shared" si="5"/>
        <v>-0.34076871977046919</v>
      </c>
      <c r="U32" s="5">
        <v>0.85</v>
      </c>
      <c r="V32" s="5">
        <v>0.02</v>
      </c>
      <c r="W32" t="s">
        <v>29</v>
      </c>
      <c r="X32" s="5">
        <v>0.95</v>
      </c>
      <c r="Y32" t="s">
        <v>29</v>
      </c>
      <c r="Z32" t="s">
        <v>29</v>
      </c>
    </row>
    <row r="33" spans="1:26" x14ac:dyDescent="0.2">
      <c r="A33" s="2">
        <v>2048</v>
      </c>
      <c r="B33" s="1">
        <v>13.2</v>
      </c>
      <c r="C33" s="4">
        <v>182355034</v>
      </c>
      <c r="D33" s="4">
        <v>67067335</v>
      </c>
      <c r="E33" s="4">
        <v>66651310</v>
      </c>
      <c r="F33" s="4">
        <v>39542763</v>
      </c>
      <c r="G33" s="4">
        <v>16628736</v>
      </c>
      <c r="H33" s="4">
        <v>967610</v>
      </c>
      <c r="J33" s="4">
        <v>363333810</v>
      </c>
      <c r="L33">
        <f t="shared" si="0"/>
        <v>1276051.14673745</v>
      </c>
      <c r="M33">
        <f t="shared" si="1"/>
        <v>362047.62124698423</v>
      </c>
      <c r="N33">
        <f t="shared" si="2"/>
        <v>515176.32065058756</v>
      </c>
      <c r="O33">
        <f t="shared" si="3"/>
        <v>137135.78581321085</v>
      </c>
      <c r="P33">
        <f t="shared" si="7"/>
        <v>51224.708648339605</v>
      </c>
      <c r="Q33">
        <f t="shared" si="6"/>
        <v>0</v>
      </c>
      <c r="R33">
        <f t="shared" si="4"/>
        <v>2341635.5830965722</v>
      </c>
      <c r="S33" s="6">
        <f t="shared" si="5"/>
        <v>-0.34830439284532266</v>
      </c>
      <c r="U33" s="5">
        <v>0.85</v>
      </c>
      <c r="V33" s="5">
        <v>0.02</v>
      </c>
      <c r="W33" t="s">
        <v>29</v>
      </c>
      <c r="X33" s="5">
        <v>0.95</v>
      </c>
      <c r="Y33" t="s">
        <v>29</v>
      </c>
      <c r="Z33" t="s">
        <v>29</v>
      </c>
    </row>
    <row r="34" spans="1:26" x14ac:dyDescent="0.2">
      <c r="A34" s="2">
        <v>2049</v>
      </c>
      <c r="B34" s="1">
        <v>13.4</v>
      </c>
      <c r="C34" s="4">
        <v>173471489</v>
      </c>
      <c r="D34" s="4">
        <v>67656931</v>
      </c>
      <c r="E34" s="4">
        <v>70599112</v>
      </c>
      <c r="F34" s="4">
        <v>47868465</v>
      </c>
      <c r="G34" s="4">
        <v>20968651</v>
      </c>
      <c r="H34" s="4">
        <v>1171340</v>
      </c>
      <c r="J34" s="4">
        <v>366527919</v>
      </c>
      <c r="L34">
        <f t="shared" si="0"/>
        <v>1213887.4787778158</v>
      </c>
      <c r="M34">
        <f t="shared" si="1"/>
        <v>365230.41998644121</v>
      </c>
      <c r="N34">
        <f t="shared" si="2"/>
        <v>545690.56124116306</v>
      </c>
      <c r="O34">
        <f t="shared" si="3"/>
        <v>166009.63274739246</v>
      </c>
      <c r="P34">
        <f t="shared" si="7"/>
        <v>64593.787418581604</v>
      </c>
      <c r="Q34">
        <f t="shared" si="6"/>
        <v>0</v>
      </c>
      <c r="R34">
        <f t="shared" si="4"/>
        <v>2355411.8801713944</v>
      </c>
      <c r="S34" s="6">
        <f t="shared" si="5"/>
        <v>-0.35623672954075403</v>
      </c>
      <c r="U34" s="5">
        <v>0.85</v>
      </c>
      <c r="V34" s="5">
        <v>0.02</v>
      </c>
      <c r="W34" t="s">
        <v>29</v>
      </c>
      <c r="X34" s="5">
        <v>0.95</v>
      </c>
      <c r="Y34" t="s">
        <v>29</v>
      </c>
      <c r="Z34" t="s">
        <v>29</v>
      </c>
    </row>
    <row r="35" spans="1:26" x14ac:dyDescent="0.2">
      <c r="A35" s="2">
        <v>2050</v>
      </c>
      <c r="B35" s="1">
        <v>13.5</v>
      </c>
      <c r="C35" s="4">
        <v>162713466</v>
      </c>
      <c r="D35" s="4">
        <v>68210642</v>
      </c>
      <c r="E35" s="4">
        <v>74735746</v>
      </c>
      <c r="F35" s="4">
        <v>57912270</v>
      </c>
      <c r="G35" s="4">
        <v>26425326</v>
      </c>
      <c r="H35" s="4">
        <v>1417112</v>
      </c>
      <c r="J35" s="4">
        <v>369527617</v>
      </c>
      <c r="L35">
        <f t="shared" si="0"/>
        <v>1138606.9269627349</v>
      </c>
      <c r="M35">
        <f t="shared" si="1"/>
        <v>368219.50178622187</v>
      </c>
      <c r="N35">
        <f t="shared" si="2"/>
        <v>577664.36466675403</v>
      </c>
      <c r="O35">
        <f t="shared" si="3"/>
        <v>200841.92535248067</v>
      </c>
      <c r="P35">
        <f t="shared" si="7"/>
        <v>81403.037806805849</v>
      </c>
      <c r="Q35">
        <f t="shared" si="6"/>
        <v>0</v>
      </c>
      <c r="R35">
        <f t="shared" si="4"/>
        <v>2366735.7565749972</v>
      </c>
      <c r="S35" s="6">
        <f t="shared" si="5"/>
        <v>-0.36275697223318226</v>
      </c>
      <c r="U35" s="5">
        <v>0.85</v>
      </c>
      <c r="V35" s="5">
        <v>0.02</v>
      </c>
      <c r="W35" t="s">
        <v>29</v>
      </c>
      <c r="X35" s="5">
        <v>0.95</v>
      </c>
      <c r="Y35" t="s">
        <v>29</v>
      </c>
      <c r="Z35" t="s">
        <v>29</v>
      </c>
    </row>
    <row r="36" spans="1:26" x14ac:dyDescent="0.2">
      <c r="A36" s="1"/>
      <c r="B36" s="1"/>
      <c r="C36" s="1"/>
      <c r="D36" s="1"/>
      <c r="E36" s="1"/>
      <c r="F36" s="1"/>
      <c r="G36" s="1"/>
      <c r="H36" s="1"/>
      <c r="J36" s="1"/>
    </row>
    <row r="37" spans="1:26" ht="22" x14ac:dyDescent="0.3">
      <c r="A37" s="10" t="s">
        <v>42</v>
      </c>
      <c r="B37" s="1"/>
      <c r="C37" s="1"/>
      <c r="D37" s="1"/>
      <c r="E37" s="1"/>
      <c r="F37" s="1"/>
      <c r="G37" s="1"/>
      <c r="H37" s="1"/>
      <c r="J37" s="1"/>
    </row>
    <row r="38" spans="1:26" x14ac:dyDescent="0.2">
      <c r="A38" s="1"/>
      <c r="B38" s="1"/>
      <c r="C38" s="1">
        <v>40.200000000000003</v>
      </c>
      <c r="D38" s="1">
        <v>42.7</v>
      </c>
      <c r="E38" s="1">
        <v>48</v>
      </c>
      <c r="F38" s="1">
        <v>19.899999999999999</v>
      </c>
      <c r="G38" s="1">
        <v>18.600000000000001</v>
      </c>
      <c r="H38" s="1">
        <v>120</v>
      </c>
      <c r="J38" s="1"/>
      <c r="L38" s="13" t="s">
        <v>39</v>
      </c>
      <c r="M38" s="13"/>
      <c r="N38" s="13"/>
      <c r="O38" s="13"/>
      <c r="P38" s="13"/>
      <c r="Q38" s="13"/>
      <c r="R38" s="13"/>
      <c r="S38" s="13"/>
      <c r="U38" s="13" t="s">
        <v>36</v>
      </c>
      <c r="V38" s="13"/>
      <c r="W38" s="13"/>
      <c r="X38" s="13"/>
      <c r="Y38" s="13"/>
      <c r="Z38" s="13"/>
    </row>
    <row r="39" spans="1:26" x14ac:dyDescent="0.2">
      <c r="A39" s="2" t="s">
        <v>0</v>
      </c>
      <c r="B39" s="3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J39" s="1" t="s">
        <v>15</v>
      </c>
      <c r="L39" s="1" t="s">
        <v>9</v>
      </c>
      <c r="M39" s="1" t="s">
        <v>10</v>
      </c>
      <c r="N39" s="1" t="s">
        <v>11</v>
      </c>
      <c r="O39" s="1" t="s">
        <v>12</v>
      </c>
      <c r="P39" s="1" t="s">
        <v>13</v>
      </c>
      <c r="Q39" s="1" t="s">
        <v>14</v>
      </c>
      <c r="R39" s="1" t="s">
        <v>28</v>
      </c>
      <c r="S39" s="1" t="s">
        <v>30</v>
      </c>
      <c r="U39" s="1" t="s">
        <v>9</v>
      </c>
      <c r="V39" s="1" t="s">
        <v>10</v>
      </c>
      <c r="W39" s="1" t="s">
        <v>11</v>
      </c>
      <c r="X39" s="1" t="s">
        <v>12</v>
      </c>
      <c r="Y39" s="1" t="s">
        <v>13</v>
      </c>
      <c r="Z39" s="1" t="s">
        <v>14</v>
      </c>
    </row>
    <row r="40" spans="1:26" x14ac:dyDescent="0.2">
      <c r="A40" s="2">
        <v>2019</v>
      </c>
      <c r="B40" s="1">
        <v>9.9</v>
      </c>
      <c r="C40" s="4">
        <v>196317426</v>
      </c>
      <c r="D40" s="4">
        <v>50567463</v>
      </c>
      <c r="E40" s="4">
        <v>11574174</v>
      </c>
      <c r="F40" s="4">
        <v>153689</v>
      </c>
      <c r="G40" s="1" t="s">
        <v>8</v>
      </c>
      <c r="H40" s="1" t="s">
        <v>8</v>
      </c>
      <c r="J40" s="7">
        <v>263925621</v>
      </c>
      <c r="L40">
        <f>(C40*U40*C$2*1000*$C$76+C40*(1-U40)*1000*C$2*$C$75)/1000000</f>
        <v>1373754.6536381575</v>
      </c>
      <c r="M40">
        <f t="shared" ref="M40:M71" si="8">(D40*V40*D$2*1000*$H$76+D40*(1-V40)*1000*D$2*$H$75)/1000000</f>
        <v>272976.84769560164</v>
      </c>
      <c r="N40">
        <f t="shared" ref="N40:N71" si="9">(E40*E$2*1000*$I$75)/1000000</f>
        <v>89461.713143968125</v>
      </c>
      <c r="O40">
        <f t="shared" ref="O40:O71" si="10">(F40*X40*F$2*1000*$K$76+F40*(1-X40)*1000*F$2*$K$75)/1000000</f>
        <v>532.99921874064682</v>
      </c>
      <c r="P40" s="1" t="s">
        <v>8</v>
      </c>
      <c r="Q40" s="1" t="s">
        <v>8</v>
      </c>
      <c r="R40">
        <f>SUM(L40:Q40)</f>
        <v>1736726.2136964679</v>
      </c>
      <c r="S40" t="s">
        <v>29</v>
      </c>
      <c r="U40" s="5">
        <v>0.85</v>
      </c>
      <c r="V40" s="5">
        <v>0.02</v>
      </c>
      <c r="W40" t="s">
        <v>29</v>
      </c>
      <c r="X40" s="5">
        <v>0.95</v>
      </c>
      <c r="Y40" t="s">
        <v>29</v>
      </c>
      <c r="Z40" t="s">
        <v>29</v>
      </c>
    </row>
    <row r="41" spans="1:26" x14ac:dyDescent="0.2">
      <c r="A41" s="2">
        <v>2020</v>
      </c>
      <c r="B41" s="1">
        <v>10.4</v>
      </c>
      <c r="C41" s="4">
        <v>198809774</v>
      </c>
      <c r="D41" s="4">
        <v>52244612</v>
      </c>
      <c r="E41" s="4">
        <v>12298869</v>
      </c>
      <c r="F41" s="4">
        <v>176122</v>
      </c>
      <c r="G41" s="1" t="s">
        <v>8</v>
      </c>
      <c r="H41" s="1" t="s">
        <v>8</v>
      </c>
      <c r="J41" s="7">
        <v>269075831</v>
      </c>
      <c r="L41">
        <f t="shared" ref="L41:L71" si="11">(C41*U41*C$2*1000*$D$76+C41*(1-U41)*1000*C$2*$D$75)/1000000</f>
        <v>1391195.1566706582</v>
      </c>
      <c r="M41">
        <f t="shared" si="8"/>
        <v>282030.5517965139</v>
      </c>
      <c r="N41">
        <f t="shared" si="9"/>
        <v>95063.188999339574</v>
      </c>
      <c r="O41">
        <f t="shared" si="10"/>
        <v>610.79770447488249</v>
      </c>
      <c r="P41" s="1" t="s">
        <v>8</v>
      </c>
      <c r="Q41" s="1" t="s">
        <v>8</v>
      </c>
      <c r="R41">
        <f t="shared" ref="R41:R71" si="12">SUM(L41:Q41)</f>
        <v>1768899.6951709862</v>
      </c>
      <c r="S41" s="6">
        <f>1-R41/$R$40</f>
        <v>-1.8525361810506569E-2</v>
      </c>
      <c r="U41" s="5">
        <v>0.85</v>
      </c>
      <c r="V41" s="5">
        <v>0.02</v>
      </c>
      <c r="W41" t="s">
        <v>29</v>
      </c>
      <c r="X41" s="5">
        <v>0.95</v>
      </c>
      <c r="Y41" t="s">
        <v>29</v>
      </c>
      <c r="Z41" t="s">
        <v>29</v>
      </c>
    </row>
    <row r="42" spans="1:26" x14ac:dyDescent="0.2">
      <c r="A42" s="2">
        <v>2021</v>
      </c>
      <c r="B42" s="1">
        <v>10.6</v>
      </c>
      <c r="C42" s="4">
        <v>204568676</v>
      </c>
      <c r="D42" s="4">
        <v>52515022</v>
      </c>
      <c r="E42" s="4">
        <v>13830180</v>
      </c>
      <c r="F42" s="4">
        <v>163472</v>
      </c>
      <c r="G42" s="1" t="s">
        <v>8</v>
      </c>
      <c r="H42" s="1" t="s">
        <v>8</v>
      </c>
      <c r="J42" s="4">
        <v>276944127</v>
      </c>
      <c r="L42">
        <f t="shared" si="11"/>
        <v>1431493.7617590628</v>
      </c>
      <c r="M42">
        <f t="shared" si="8"/>
        <v>283490.2981433965</v>
      </c>
      <c r="N42">
        <f t="shared" si="9"/>
        <v>106899.34295868067</v>
      </c>
      <c r="O42">
        <f t="shared" si="10"/>
        <v>566.92702981977243</v>
      </c>
      <c r="P42" s="1" t="s">
        <v>8</v>
      </c>
      <c r="Q42" s="1" t="s">
        <v>8</v>
      </c>
      <c r="R42">
        <f t="shared" si="12"/>
        <v>1822450.3298909597</v>
      </c>
      <c r="S42" s="6">
        <f t="shared" ref="S42:S71" si="13">1-R42/$R$40</f>
        <v>-4.9359602865690411E-2</v>
      </c>
      <c r="U42" s="5">
        <v>0.85</v>
      </c>
      <c r="V42" s="5">
        <v>0.02</v>
      </c>
      <c r="W42" t="s">
        <v>29</v>
      </c>
      <c r="X42" s="5">
        <v>0.95</v>
      </c>
      <c r="Y42" t="s">
        <v>29</v>
      </c>
      <c r="Z42" t="s">
        <v>29</v>
      </c>
    </row>
    <row r="43" spans="1:26" x14ac:dyDescent="0.2">
      <c r="A43" s="2">
        <v>2022</v>
      </c>
      <c r="B43" s="1">
        <v>10.7</v>
      </c>
      <c r="C43" s="4">
        <v>207509604</v>
      </c>
      <c r="D43" s="4">
        <v>53007269</v>
      </c>
      <c r="E43" s="4">
        <v>14075107</v>
      </c>
      <c r="F43" s="4">
        <v>234457</v>
      </c>
      <c r="G43" s="1" t="s">
        <v>8</v>
      </c>
      <c r="H43" s="1" t="s">
        <v>8</v>
      </c>
      <c r="J43" s="4">
        <v>280735505</v>
      </c>
      <c r="L43">
        <f t="shared" si="11"/>
        <v>1452073.2569589172</v>
      </c>
      <c r="M43">
        <f t="shared" si="8"/>
        <v>286147.58064039686</v>
      </c>
      <c r="N43">
        <f t="shared" si="9"/>
        <v>108792.48790493884</v>
      </c>
      <c r="O43">
        <f t="shared" si="10"/>
        <v>813.10567332909886</v>
      </c>
      <c r="P43" s="1" t="s">
        <v>8</v>
      </c>
      <c r="Q43" s="1" t="s">
        <v>8</v>
      </c>
      <c r="R43">
        <f t="shared" si="12"/>
        <v>1847826.4311775821</v>
      </c>
      <c r="S43" s="6">
        <f t="shared" si="13"/>
        <v>-6.3971060380695999E-2</v>
      </c>
      <c r="U43" s="5">
        <v>0.85</v>
      </c>
      <c r="V43" s="5">
        <v>0.02</v>
      </c>
      <c r="W43" t="s">
        <v>29</v>
      </c>
      <c r="X43" s="5">
        <v>0.95</v>
      </c>
      <c r="Y43" t="s">
        <v>29</v>
      </c>
      <c r="Z43" t="s">
        <v>29</v>
      </c>
    </row>
    <row r="44" spans="1:26" x14ac:dyDescent="0.2">
      <c r="A44" s="2">
        <v>2023</v>
      </c>
      <c r="B44" s="1">
        <v>10.3</v>
      </c>
      <c r="C44" s="4">
        <v>209125640</v>
      </c>
      <c r="D44" s="4">
        <v>52258070</v>
      </c>
      <c r="E44" s="4">
        <v>15336227</v>
      </c>
      <c r="F44" s="4">
        <v>322982</v>
      </c>
      <c r="G44" s="1" t="s">
        <v>8</v>
      </c>
      <c r="H44" s="1" t="s">
        <v>8</v>
      </c>
      <c r="J44" s="4">
        <v>283105387</v>
      </c>
      <c r="L44">
        <f t="shared" si="11"/>
        <v>1463381.6620286067</v>
      </c>
      <c r="M44">
        <f t="shared" si="8"/>
        <v>282103.20172194694</v>
      </c>
      <c r="N44">
        <f t="shared" si="9"/>
        <v>118540.2207176753</v>
      </c>
      <c r="O44">
        <f t="shared" si="10"/>
        <v>1120.1136949768143</v>
      </c>
      <c r="P44" s="1" t="s">
        <v>8</v>
      </c>
      <c r="Q44" s="1" t="s">
        <v>8</v>
      </c>
      <c r="R44">
        <f t="shared" si="12"/>
        <v>1865145.1981632058</v>
      </c>
      <c r="S44" s="6">
        <f t="shared" si="13"/>
        <v>-7.3943137066728282E-2</v>
      </c>
      <c r="U44" s="5">
        <v>0.85</v>
      </c>
      <c r="V44" s="5">
        <v>0.02</v>
      </c>
      <c r="W44" t="s">
        <v>29</v>
      </c>
      <c r="X44" s="5">
        <v>0.95</v>
      </c>
      <c r="Y44" t="s">
        <v>29</v>
      </c>
      <c r="Z44" t="s">
        <v>29</v>
      </c>
    </row>
    <row r="45" spans="1:26" x14ac:dyDescent="0.2">
      <c r="A45" s="2">
        <v>2024</v>
      </c>
      <c r="B45" s="1">
        <v>10.4</v>
      </c>
      <c r="C45" s="4">
        <v>214191682</v>
      </c>
      <c r="D45" s="4">
        <v>50202820</v>
      </c>
      <c r="E45" s="4">
        <v>15508496</v>
      </c>
      <c r="F45" s="4">
        <v>391932</v>
      </c>
      <c r="G45" s="4">
        <v>61875</v>
      </c>
      <c r="H45" s="4">
        <v>9591</v>
      </c>
      <c r="J45" s="4">
        <v>286285448</v>
      </c>
      <c r="L45">
        <f t="shared" si="11"/>
        <v>1498831.8964516392</v>
      </c>
      <c r="M45">
        <f t="shared" si="8"/>
        <v>271008.40611738234</v>
      </c>
      <c r="N45">
        <f t="shared" si="9"/>
        <v>119871.7610817305</v>
      </c>
      <c r="O45">
        <f t="shared" si="10"/>
        <v>1359.2348821285791</v>
      </c>
      <c r="P45">
        <f t="shared" ref="P45:P71" si="14">(G45*G$2*1000*$L$75)/1000000</f>
        <v>190.60551852022988</v>
      </c>
      <c r="Q45">
        <f t="shared" ref="Q45:Q71" si="15">H45*1000*H$2*$J$75/1000000</f>
        <v>0</v>
      </c>
      <c r="R45">
        <f t="shared" si="12"/>
        <v>1891261.904051401</v>
      </c>
      <c r="S45" s="6">
        <f t="shared" si="13"/>
        <v>-8.8981031745940742E-2</v>
      </c>
      <c r="U45" s="5">
        <v>0.85</v>
      </c>
      <c r="V45" s="5">
        <v>0.02</v>
      </c>
      <c r="W45" t="s">
        <v>29</v>
      </c>
      <c r="X45" s="5">
        <v>0.95</v>
      </c>
      <c r="Y45" t="s">
        <v>29</v>
      </c>
      <c r="Z45" t="s">
        <v>29</v>
      </c>
    </row>
    <row r="46" spans="1:26" x14ac:dyDescent="0.2">
      <c r="A46" s="2">
        <v>2025</v>
      </c>
      <c r="B46" s="1">
        <v>10.6</v>
      </c>
      <c r="C46" s="4">
        <v>220538033</v>
      </c>
      <c r="D46" s="4">
        <v>48515066</v>
      </c>
      <c r="E46" s="4">
        <v>15775916</v>
      </c>
      <c r="F46" s="4">
        <v>478428</v>
      </c>
      <c r="G46" s="4">
        <v>86859</v>
      </c>
      <c r="H46" s="4">
        <v>12683</v>
      </c>
      <c r="J46" s="4">
        <v>291222001</v>
      </c>
      <c r="L46">
        <f t="shared" si="11"/>
        <v>1543241.2461334711</v>
      </c>
      <c r="M46">
        <f t="shared" si="8"/>
        <v>261897.45335699484</v>
      </c>
      <c r="N46">
        <f t="shared" si="9"/>
        <v>121938.76399087632</v>
      </c>
      <c r="O46">
        <f t="shared" si="10"/>
        <v>1659.2062556438664</v>
      </c>
      <c r="P46">
        <f t="shared" si="14"/>
        <v>267.56856134381655</v>
      </c>
      <c r="Q46">
        <f t="shared" si="15"/>
        <v>0</v>
      </c>
      <c r="R46">
        <f t="shared" si="12"/>
        <v>1929004.2382983298</v>
      </c>
      <c r="S46" s="6">
        <f t="shared" si="13"/>
        <v>-0.11071291668513195</v>
      </c>
      <c r="U46" s="5">
        <v>0.85</v>
      </c>
      <c r="V46" s="5">
        <v>0.02</v>
      </c>
      <c r="W46" t="s">
        <v>29</v>
      </c>
      <c r="X46" s="5">
        <v>0.95</v>
      </c>
      <c r="Y46" t="s">
        <v>29</v>
      </c>
      <c r="Z46" t="s">
        <v>29</v>
      </c>
    </row>
    <row r="47" spans="1:26" x14ac:dyDescent="0.2">
      <c r="A47" s="2">
        <v>2026</v>
      </c>
      <c r="B47" s="1">
        <v>10.8</v>
      </c>
      <c r="C47" s="4">
        <v>226444170</v>
      </c>
      <c r="D47" s="4">
        <v>46792620</v>
      </c>
      <c r="E47" s="4">
        <v>16016651</v>
      </c>
      <c r="F47" s="4">
        <v>582875</v>
      </c>
      <c r="G47" s="4">
        <v>121695</v>
      </c>
      <c r="H47" s="4">
        <v>16739</v>
      </c>
      <c r="J47" s="4">
        <v>295665950</v>
      </c>
      <c r="L47">
        <f t="shared" si="11"/>
        <v>1584570.1457329113</v>
      </c>
      <c r="M47">
        <f t="shared" si="8"/>
        <v>252599.22379373008</v>
      </c>
      <c r="N47">
        <f t="shared" si="9"/>
        <v>123799.5071863487</v>
      </c>
      <c r="O47">
        <f t="shared" si="10"/>
        <v>2021.4323707191443</v>
      </c>
      <c r="P47">
        <f t="shared" si="14"/>
        <v>374.88062345566664</v>
      </c>
      <c r="Q47">
        <f t="shared" si="15"/>
        <v>0</v>
      </c>
      <c r="R47">
        <f t="shared" si="12"/>
        <v>1963365.1897071649</v>
      </c>
      <c r="S47" s="6">
        <f t="shared" si="13"/>
        <v>-0.13049781492519541</v>
      </c>
      <c r="U47" s="5">
        <v>0.85</v>
      </c>
      <c r="V47" s="5">
        <v>0.02</v>
      </c>
      <c r="W47" t="s">
        <v>29</v>
      </c>
      <c r="X47" s="5">
        <v>0.95</v>
      </c>
      <c r="Y47" t="s">
        <v>29</v>
      </c>
      <c r="Z47" t="s">
        <v>29</v>
      </c>
    </row>
    <row r="48" spans="1:26" x14ac:dyDescent="0.2">
      <c r="A48" s="2">
        <v>2027</v>
      </c>
      <c r="B48" s="1">
        <v>10.9</v>
      </c>
      <c r="C48" s="4">
        <v>232112513</v>
      </c>
      <c r="D48" s="4">
        <v>45089631</v>
      </c>
      <c r="E48" s="4">
        <v>16246036</v>
      </c>
      <c r="F48" s="4">
        <v>709467</v>
      </c>
      <c r="G48" s="4">
        <v>170344</v>
      </c>
      <c r="H48" s="4">
        <v>22073</v>
      </c>
      <c r="J48" s="4">
        <v>299900385</v>
      </c>
      <c r="L48">
        <f t="shared" si="11"/>
        <v>1624235.053394584</v>
      </c>
      <c r="M48">
        <f t="shared" si="8"/>
        <v>243406.02838109317</v>
      </c>
      <c r="N48">
        <f t="shared" si="9"/>
        <v>125572.52140486044</v>
      </c>
      <c r="O48">
        <f t="shared" si="10"/>
        <v>2460.4581767222803</v>
      </c>
      <c r="P48">
        <f t="shared" si="14"/>
        <v>524.74353853430375</v>
      </c>
      <c r="Q48">
        <f t="shared" si="15"/>
        <v>0</v>
      </c>
      <c r="R48">
        <f t="shared" si="12"/>
        <v>1996198.8048957943</v>
      </c>
      <c r="S48" s="6">
        <f t="shared" si="13"/>
        <v>-0.14940327908511386</v>
      </c>
      <c r="U48" s="5">
        <v>0.85</v>
      </c>
      <c r="V48" s="5">
        <v>0.02</v>
      </c>
      <c r="W48" t="s">
        <v>29</v>
      </c>
      <c r="X48" s="5">
        <v>0.95</v>
      </c>
      <c r="Y48" t="s">
        <v>29</v>
      </c>
      <c r="Z48" t="s">
        <v>29</v>
      </c>
    </row>
    <row r="49" spans="1:26" x14ac:dyDescent="0.2">
      <c r="A49" s="2">
        <v>2028</v>
      </c>
      <c r="B49" s="1">
        <v>11.1</v>
      </c>
      <c r="C49" s="4">
        <v>236962105</v>
      </c>
      <c r="D49" s="4">
        <v>43305715</v>
      </c>
      <c r="E49" s="4">
        <v>16424508</v>
      </c>
      <c r="F49" s="4">
        <v>860713</v>
      </c>
      <c r="G49" s="4">
        <v>237657</v>
      </c>
      <c r="H49" s="4">
        <v>29009</v>
      </c>
      <c r="J49" s="4">
        <v>303194945</v>
      </c>
      <c r="L49">
        <f t="shared" si="11"/>
        <v>1658170.6530710305</v>
      </c>
      <c r="M49">
        <f t="shared" si="8"/>
        <v>233775.96712542468</v>
      </c>
      <c r="N49">
        <f t="shared" si="9"/>
        <v>126952.00739394531</v>
      </c>
      <c r="O49">
        <f t="shared" si="10"/>
        <v>2984.9849797963316</v>
      </c>
      <c r="P49">
        <f t="shared" si="14"/>
        <v>732.10077923171355</v>
      </c>
      <c r="Q49">
        <f t="shared" si="15"/>
        <v>0</v>
      </c>
      <c r="R49">
        <f t="shared" si="12"/>
        <v>2022615.7133494283</v>
      </c>
      <c r="S49" s="6">
        <f t="shared" si="13"/>
        <v>-0.16461402919949597</v>
      </c>
      <c r="U49" s="5">
        <v>0.85</v>
      </c>
      <c r="V49" s="5">
        <v>0.02</v>
      </c>
      <c r="W49" t="s">
        <v>29</v>
      </c>
      <c r="X49" s="5">
        <v>0.95</v>
      </c>
      <c r="Y49" t="s">
        <v>29</v>
      </c>
      <c r="Z49" t="s">
        <v>29</v>
      </c>
    </row>
    <row r="50" spans="1:26" x14ac:dyDescent="0.2">
      <c r="A50" s="2">
        <v>2029</v>
      </c>
      <c r="B50" s="1">
        <v>11.2</v>
      </c>
      <c r="C50" s="4">
        <v>242137195</v>
      </c>
      <c r="D50" s="4">
        <v>41661440</v>
      </c>
      <c r="E50" s="4">
        <v>16632511</v>
      </c>
      <c r="F50" s="4">
        <v>1045936</v>
      </c>
      <c r="G50" s="4">
        <v>332121</v>
      </c>
      <c r="H50" s="4">
        <v>38190</v>
      </c>
      <c r="J50" s="4">
        <v>307034667</v>
      </c>
      <c r="L50">
        <f t="shared" si="11"/>
        <v>1694383.9639082267</v>
      </c>
      <c r="M50">
        <f t="shared" si="8"/>
        <v>224899.72577147969</v>
      </c>
      <c r="N50">
        <f t="shared" si="9"/>
        <v>128559.75104105868</v>
      </c>
      <c r="O50">
        <f t="shared" si="10"/>
        <v>3627.3452937602387</v>
      </c>
      <c r="P50">
        <f t="shared" si="14"/>
        <v>1023.0964915791076</v>
      </c>
      <c r="Q50">
        <f t="shared" si="15"/>
        <v>0</v>
      </c>
      <c r="R50">
        <f t="shared" si="12"/>
        <v>2052493.8825061047</v>
      </c>
      <c r="S50" s="6">
        <f t="shared" si="13"/>
        <v>-0.18181775936781253</v>
      </c>
      <c r="U50" s="5">
        <v>0.85</v>
      </c>
      <c r="V50" s="5">
        <v>0.02</v>
      </c>
      <c r="W50" t="s">
        <v>29</v>
      </c>
      <c r="X50" s="5">
        <v>0.95</v>
      </c>
      <c r="Y50" t="s">
        <v>29</v>
      </c>
      <c r="Z50" t="s">
        <v>29</v>
      </c>
    </row>
    <row r="51" spans="1:26" x14ac:dyDescent="0.2">
      <c r="A51" s="2">
        <v>2030</v>
      </c>
      <c r="B51" s="1">
        <v>11.3</v>
      </c>
      <c r="C51" s="4">
        <v>247061430</v>
      </c>
      <c r="D51" s="4">
        <v>40049730</v>
      </c>
      <c r="E51" s="4">
        <v>16830597</v>
      </c>
      <c r="F51" s="4">
        <v>1270071</v>
      </c>
      <c r="G51" s="4">
        <v>463785</v>
      </c>
      <c r="H51" s="4">
        <v>50238</v>
      </c>
      <c r="J51" s="4">
        <v>310691318</v>
      </c>
      <c r="L51">
        <f t="shared" si="11"/>
        <v>1728841.8868990156</v>
      </c>
      <c r="M51">
        <f t="shared" si="8"/>
        <v>216199.27909889343</v>
      </c>
      <c r="N51">
        <f t="shared" si="9"/>
        <v>130090.84197764182</v>
      </c>
      <c r="O51">
        <f t="shared" si="10"/>
        <v>4404.6538837857761</v>
      </c>
      <c r="P51">
        <f t="shared" si="14"/>
        <v>1428.6865520307849</v>
      </c>
      <c r="Q51">
        <f t="shared" si="15"/>
        <v>0</v>
      </c>
      <c r="R51">
        <f t="shared" si="12"/>
        <v>2080965.3484113675</v>
      </c>
      <c r="S51" s="6">
        <f t="shared" si="13"/>
        <v>-0.19821151543640103</v>
      </c>
      <c r="U51" s="5">
        <v>0.85</v>
      </c>
      <c r="V51" s="5">
        <v>0.02</v>
      </c>
      <c r="W51" t="s">
        <v>29</v>
      </c>
      <c r="X51" s="5">
        <v>0.95</v>
      </c>
      <c r="Y51" t="s">
        <v>29</v>
      </c>
      <c r="Z51" t="s">
        <v>29</v>
      </c>
    </row>
    <row r="52" spans="1:26" x14ac:dyDescent="0.2">
      <c r="A52" s="2">
        <v>2031</v>
      </c>
      <c r="B52" s="1">
        <v>11.4</v>
      </c>
      <c r="C52" s="4">
        <v>251309015</v>
      </c>
      <c r="D52" s="4">
        <v>38409907</v>
      </c>
      <c r="E52" s="4">
        <v>16991025</v>
      </c>
      <c r="F52" s="4">
        <v>1538612</v>
      </c>
      <c r="G52" s="4">
        <v>646124</v>
      </c>
      <c r="H52" s="4">
        <v>65932</v>
      </c>
      <c r="J52" s="4">
        <v>313652805</v>
      </c>
      <c r="L52">
        <f t="shared" si="11"/>
        <v>1758564.8706369626</v>
      </c>
      <c r="M52">
        <f t="shared" si="8"/>
        <v>207347.07084555979</v>
      </c>
      <c r="N52">
        <f t="shared" si="9"/>
        <v>131330.85821692253</v>
      </c>
      <c r="O52">
        <f t="shared" si="10"/>
        <v>5178.4275065064248</v>
      </c>
      <c r="P52">
        <f t="shared" si="14"/>
        <v>1990.3806068422628</v>
      </c>
      <c r="Q52">
        <f t="shared" si="15"/>
        <v>0</v>
      </c>
      <c r="R52">
        <f t="shared" si="12"/>
        <v>2104411.6078127935</v>
      </c>
      <c r="S52" s="6">
        <f t="shared" si="13"/>
        <v>-0.21171177772099137</v>
      </c>
      <c r="U52" s="5">
        <v>0.85</v>
      </c>
      <c r="V52" s="5">
        <v>0.02</v>
      </c>
      <c r="W52" t="s">
        <v>29</v>
      </c>
      <c r="X52" s="5">
        <v>0.85</v>
      </c>
      <c r="Y52" t="s">
        <v>29</v>
      </c>
      <c r="Z52" t="s">
        <v>29</v>
      </c>
    </row>
    <row r="53" spans="1:26" x14ac:dyDescent="0.2">
      <c r="A53" s="2">
        <v>2032</v>
      </c>
      <c r="B53" s="1">
        <v>11.5</v>
      </c>
      <c r="C53" s="4">
        <v>255162821</v>
      </c>
      <c r="D53" s="4">
        <v>36797862</v>
      </c>
      <c r="E53" s="4">
        <v>17134653</v>
      </c>
      <c r="F53" s="4">
        <v>1861942</v>
      </c>
      <c r="G53" s="4">
        <v>899188</v>
      </c>
      <c r="H53" s="4">
        <v>86436</v>
      </c>
      <c r="J53" s="4">
        <v>316304164</v>
      </c>
      <c r="L53">
        <f t="shared" si="11"/>
        <v>1785532.3387552472</v>
      </c>
      <c r="M53">
        <f t="shared" si="8"/>
        <v>198644.81575233</v>
      </c>
      <c r="N53">
        <f t="shared" si="9"/>
        <v>132441.02011145095</v>
      </c>
      <c r="O53">
        <f t="shared" si="10"/>
        <v>6266.6427067510103</v>
      </c>
      <c r="P53">
        <f t="shared" si="14"/>
        <v>2769.9425452471669</v>
      </c>
      <c r="Q53">
        <f t="shared" si="15"/>
        <v>0</v>
      </c>
      <c r="R53">
        <f t="shared" si="12"/>
        <v>2125654.7598710265</v>
      </c>
      <c r="S53" s="6">
        <f t="shared" si="13"/>
        <v>-0.22394349961860627</v>
      </c>
      <c r="U53" s="5">
        <v>0.85</v>
      </c>
      <c r="V53" s="5">
        <v>0.02</v>
      </c>
      <c r="W53" t="s">
        <v>29</v>
      </c>
      <c r="X53" s="5">
        <v>0.85</v>
      </c>
      <c r="Y53" t="s">
        <v>29</v>
      </c>
      <c r="Z53" t="s">
        <v>29</v>
      </c>
    </row>
    <row r="54" spans="1:26" x14ac:dyDescent="0.2">
      <c r="A54" s="2">
        <v>2033</v>
      </c>
      <c r="B54" s="1">
        <v>11.6</v>
      </c>
      <c r="C54" s="4">
        <v>259041323</v>
      </c>
      <c r="D54" s="4">
        <v>35277188</v>
      </c>
      <c r="E54" s="4">
        <v>17291118</v>
      </c>
      <c r="F54" s="4">
        <v>2254733</v>
      </c>
      <c r="G54" s="4">
        <v>1252211</v>
      </c>
      <c r="H54" s="4">
        <v>113393</v>
      </c>
      <c r="J54" s="4">
        <v>319192495</v>
      </c>
      <c r="L54">
        <f t="shared" si="11"/>
        <v>1812672.6200853665</v>
      </c>
      <c r="M54">
        <f t="shared" si="8"/>
        <v>190435.80604004406</v>
      </c>
      <c r="N54">
        <f t="shared" si="9"/>
        <v>133650.40463833566</v>
      </c>
      <c r="O54">
        <f t="shared" si="10"/>
        <v>7588.639232651085</v>
      </c>
      <c r="P54">
        <f t="shared" si="14"/>
        <v>3857.4275062906763</v>
      </c>
      <c r="Q54">
        <f t="shared" si="15"/>
        <v>0</v>
      </c>
      <c r="R54">
        <f t="shared" si="12"/>
        <v>2148204.8975026878</v>
      </c>
      <c r="S54" s="6">
        <f t="shared" si="13"/>
        <v>-0.23692777857623515</v>
      </c>
      <c r="U54" s="5">
        <v>0.85</v>
      </c>
      <c r="V54" s="5">
        <v>0.02</v>
      </c>
      <c r="W54" t="s">
        <v>29</v>
      </c>
      <c r="X54" s="5">
        <v>0.85</v>
      </c>
      <c r="Y54" t="s">
        <v>29</v>
      </c>
      <c r="Z54" t="s">
        <v>29</v>
      </c>
    </row>
    <row r="55" spans="1:26" x14ac:dyDescent="0.2">
      <c r="A55" s="2">
        <v>2034</v>
      </c>
      <c r="B55" s="1">
        <v>11.8</v>
      </c>
      <c r="C55" s="4">
        <v>263110462</v>
      </c>
      <c r="D55" s="4">
        <v>33866073</v>
      </c>
      <c r="E55" s="4">
        <v>17473116</v>
      </c>
      <c r="F55" s="4">
        <v>2734159</v>
      </c>
      <c r="G55" s="4">
        <v>1746240</v>
      </c>
      <c r="H55" s="4">
        <v>148963</v>
      </c>
      <c r="J55" s="4">
        <v>322552160</v>
      </c>
      <c r="L55">
        <f t="shared" si="11"/>
        <v>1841146.9066092256</v>
      </c>
      <c r="M55">
        <f t="shared" si="8"/>
        <v>182818.22545396682</v>
      </c>
      <c r="N55">
        <f t="shared" si="9"/>
        <v>135057.1445809679</v>
      </c>
      <c r="O55">
        <f t="shared" si="10"/>
        <v>9202.2187353030513</v>
      </c>
      <c r="P55">
        <f t="shared" si="14"/>
        <v>5379.2804955275351</v>
      </c>
      <c r="Q55">
        <f t="shared" si="15"/>
        <v>0</v>
      </c>
      <c r="R55">
        <f t="shared" si="12"/>
        <v>2173603.775874991</v>
      </c>
      <c r="S55" s="6">
        <f t="shared" si="13"/>
        <v>-0.25155235104597629</v>
      </c>
      <c r="U55" s="5">
        <v>0.85</v>
      </c>
      <c r="V55" s="5">
        <v>0.02</v>
      </c>
      <c r="W55" t="s">
        <v>29</v>
      </c>
      <c r="X55" s="5">
        <v>0.85</v>
      </c>
      <c r="Y55" t="s">
        <v>29</v>
      </c>
      <c r="Z55" t="s">
        <v>29</v>
      </c>
    </row>
    <row r="56" spans="1:26" x14ac:dyDescent="0.2">
      <c r="A56" s="2">
        <v>2035</v>
      </c>
      <c r="B56" s="1">
        <v>11.8</v>
      </c>
      <c r="C56" s="4">
        <v>266304541</v>
      </c>
      <c r="D56" s="4">
        <v>32429300</v>
      </c>
      <c r="E56" s="4">
        <v>17612438</v>
      </c>
      <c r="F56" s="4">
        <v>3307151</v>
      </c>
      <c r="G56" s="4">
        <v>2429026</v>
      </c>
      <c r="H56" s="4">
        <v>195196</v>
      </c>
      <c r="J56" s="4">
        <v>325124040</v>
      </c>
      <c r="L56">
        <f t="shared" si="11"/>
        <v>1863497.8561899215</v>
      </c>
      <c r="M56">
        <f t="shared" si="8"/>
        <v>175062.13604141015</v>
      </c>
      <c r="N56">
        <f t="shared" si="9"/>
        <v>136134.02357022831</v>
      </c>
      <c r="O56">
        <f t="shared" si="10"/>
        <v>11130.70852597681</v>
      </c>
      <c r="P56">
        <f t="shared" si="14"/>
        <v>7482.5981451170892</v>
      </c>
      <c r="Q56">
        <f t="shared" si="15"/>
        <v>0</v>
      </c>
      <c r="R56">
        <f t="shared" si="12"/>
        <v>2193307.3224726538</v>
      </c>
      <c r="S56" s="6">
        <f t="shared" si="13"/>
        <v>-0.26289757428397054</v>
      </c>
      <c r="U56" s="5">
        <v>0.85</v>
      </c>
      <c r="V56" s="5">
        <v>0.02</v>
      </c>
      <c r="W56" t="s">
        <v>29</v>
      </c>
      <c r="X56" s="5">
        <v>0.85</v>
      </c>
      <c r="Y56" t="s">
        <v>29</v>
      </c>
      <c r="Z56" t="s">
        <v>29</v>
      </c>
    </row>
    <row r="57" spans="1:26" x14ac:dyDescent="0.2">
      <c r="A57" s="2">
        <v>2036</v>
      </c>
      <c r="B57" s="1">
        <v>12</v>
      </c>
      <c r="C57" s="4">
        <v>269642799</v>
      </c>
      <c r="D57" s="4">
        <v>31101413</v>
      </c>
      <c r="E57" s="4">
        <v>17780273</v>
      </c>
      <c r="F57" s="4">
        <v>4006400</v>
      </c>
      <c r="G57" s="4">
        <v>3383999</v>
      </c>
      <c r="H57" s="4">
        <v>256173</v>
      </c>
      <c r="J57" s="4">
        <v>328222249</v>
      </c>
      <c r="L57">
        <f t="shared" si="11"/>
        <v>1886857.7155563785</v>
      </c>
      <c r="M57">
        <f t="shared" si="8"/>
        <v>167893.84271896345</v>
      </c>
      <c r="N57">
        <f t="shared" si="9"/>
        <v>137431.29166257926</v>
      </c>
      <c r="O57">
        <f t="shared" si="10"/>
        <v>13484.135026938136</v>
      </c>
      <c r="P57">
        <f t="shared" si="14"/>
        <v>10424.386005122253</v>
      </c>
      <c r="Q57">
        <f t="shared" si="15"/>
        <v>0</v>
      </c>
      <c r="R57">
        <f t="shared" si="12"/>
        <v>2216091.3709699819</v>
      </c>
      <c r="S57" s="6">
        <f t="shared" si="13"/>
        <v>-0.27601653818147165</v>
      </c>
      <c r="U57" s="5">
        <v>0.85</v>
      </c>
      <c r="V57" s="5">
        <v>0.02</v>
      </c>
      <c r="W57" t="s">
        <v>29</v>
      </c>
      <c r="X57" s="5">
        <v>0.85</v>
      </c>
      <c r="Y57" t="s">
        <v>29</v>
      </c>
      <c r="Z57" t="s">
        <v>29</v>
      </c>
    </row>
    <row r="58" spans="1:26" x14ac:dyDescent="0.2">
      <c r="A58" s="2">
        <v>2037</v>
      </c>
      <c r="B58" s="1">
        <v>12.1</v>
      </c>
      <c r="C58" s="4">
        <v>272533875</v>
      </c>
      <c r="D58" s="4">
        <v>29815506</v>
      </c>
      <c r="E58" s="4">
        <v>17942249</v>
      </c>
      <c r="F58" s="4">
        <v>4851477</v>
      </c>
      <c r="G58" s="4">
        <v>4712460</v>
      </c>
      <c r="H58" s="4">
        <v>336058</v>
      </c>
      <c r="J58" s="4">
        <v>331212313</v>
      </c>
      <c r="L58">
        <f t="shared" si="11"/>
        <v>1907088.36542758</v>
      </c>
      <c r="M58">
        <f t="shared" si="8"/>
        <v>160952.16879536345</v>
      </c>
      <c r="N58">
        <f t="shared" si="9"/>
        <v>138683.27305219785</v>
      </c>
      <c r="O58">
        <f t="shared" si="10"/>
        <v>16328.367349262366</v>
      </c>
      <c r="P58">
        <f t="shared" si="14"/>
        <v>14516.701120094423</v>
      </c>
      <c r="Q58">
        <f t="shared" si="15"/>
        <v>0</v>
      </c>
      <c r="R58">
        <f t="shared" si="12"/>
        <v>2237568.8757444979</v>
      </c>
      <c r="S58" s="6">
        <f t="shared" si="13"/>
        <v>-0.28838319943477497</v>
      </c>
      <c r="U58" s="5">
        <v>0.85</v>
      </c>
      <c r="V58" s="5">
        <v>0.02</v>
      </c>
      <c r="W58" t="s">
        <v>29</v>
      </c>
      <c r="X58" s="5">
        <v>0.85</v>
      </c>
      <c r="Y58" t="s">
        <v>29</v>
      </c>
      <c r="Z58" t="s">
        <v>29</v>
      </c>
    </row>
    <row r="59" spans="1:26" x14ac:dyDescent="0.2">
      <c r="A59" s="2">
        <v>2038</v>
      </c>
      <c r="B59" s="1">
        <v>12.2</v>
      </c>
      <c r="C59" s="4">
        <v>275298945</v>
      </c>
      <c r="D59" s="4">
        <v>28614872</v>
      </c>
      <c r="E59" s="4">
        <v>18126038</v>
      </c>
      <c r="F59" s="4">
        <v>5881407</v>
      </c>
      <c r="G59" s="4">
        <v>6569810</v>
      </c>
      <c r="H59" s="4">
        <v>441351</v>
      </c>
      <c r="J59" s="4">
        <v>334605051</v>
      </c>
      <c r="L59">
        <f t="shared" si="11"/>
        <v>1926437.2732526821</v>
      </c>
      <c r="M59">
        <f t="shared" si="8"/>
        <v>154470.82159872516</v>
      </c>
      <c r="N59">
        <f t="shared" si="9"/>
        <v>140103.85639551174</v>
      </c>
      <c r="O59">
        <f t="shared" si="10"/>
        <v>19794.74993420007</v>
      </c>
      <c r="P59">
        <f t="shared" si="14"/>
        <v>20238.255218252791</v>
      </c>
      <c r="Q59">
        <f t="shared" si="15"/>
        <v>0</v>
      </c>
      <c r="R59">
        <f t="shared" si="12"/>
        <v>2261044.9563993723</v>
      </c>
      <c r="S59" s="6">
        <f t="shared" si="13"/>
        <v>-0.30190063267769673</v>
      </c>
      <c r="U59" s="5">
        <v>0.85</v>
      </c>
      <c r="V59" s="5">
        <v>0.02</v>
      </c>
      <c r="W59" t="s">
        <v>29</v>
      </c>
      <c r="X59" s="5">
        <v>0.85</v>
      </c>
      <c r="Y59" t="s">
        <v>29</v>
      </c>
      <c r="Z59" t="s">
        <v>29</v>
      </c>
    </row>
    <row r="60" spans="1:26" x14ac:dyDescent="0.2">
      <c r="A60" s="2">
        <v>2039</v>
      </c>
      <c r="B60" s="1">
        <v>12.3</v>
      </c>
      <c r="C60" s="4">
        <v>277055524</v>
      </c>
      <c r="D60" s="4">
        <v>27418624</v>
      </c>
      <c r="E60" s="4">
        <v>18282397</v>
      </c>
      <c r="F60" s="4">
        <v>7118569</v>
      </c>
      <c r="G60" s="4">
        <v>9144546</v>
      </c>
      <c r="H60" s="4">
        <v>578706</v>
      </c>
      <c r="J60" s="4">
        <v>337491422</v>
      </c>
      <c r="L60">
        <f t="shared" si="11"/>
        <v>1938729.1447635335</v>
      </c>
      <c r="M60">
        <f t="shared" si="8"/>
        <v>148013.15121684011</v>
      </c>
      <c r="N60">
        <f t="shared" si="9"/>
        <v>141312.42160331644</v>
      </c>
      <c r="O60">
        <f t="shared" si="10"/>
        <v>23958.602634428906</v>
      </c>
      <c r="P60">
        <f t="shared" si="14"/>
        <v>28169.712031710616</v>
      </c>
      <c r="Q60">
        <f t="shared" si="15"/>
        <v>0</v>
      </c>
      <c r="R60">
        <f t="shared" si="12"/>
        <v>2280183.0322498293</v>
      </c>
      <c r="S60" s="6">
        <f t="shared" si="13"/>
        <v>-0.31292026012359297</v>
      </c>
      <c r="U60" s="5">
        <v>0.85</v>
      </c>
      <c r="V60" s="5">
        <v>0.02</v>
      </c>
      <c r="W60" t="s">
        <v>29</v>
      </c>
      <c r="X60" s="5">
        <v>0.85</v>
      </c>
      <c r="Y60" t="s">
        <v>29</v>
      </c>
      <c r="Z60" t="s">
        <v>29</v>
      </c>
    </row>
    <row r="61" spans="1:26" x14ac:dyDescent="0.2">
      <c r="A61" s="2">
        <v>2040</v>
      </c>
      <c r="B61" s="1">
        <v>12.4</v>
      </c>
      <c r="C61" s="4">
        <v>278334493</v>
      </c>
      <c r="D61" s="4">
        <v>26298418</v>
      </c>
      <c r="E61" s="4">
        <v>18458377</v>
      </c>
      <c r="F61" s="4">
        <v>8624508</v>
      </c>
      <c r="G61" s="4">
        <v>12740944</v>
      </c>
      <c r="H61" s="4">
        <v>759559</v>
      </c>
      <c r="J61" s="4">
        <v>340739988</v>
      </c>
      <c r="L61">
        <f t="shared" si="11"/>
        <v>1947678.8832121666</v>
      </c>
      <c r="M61">
        <f t="shared" si="8"/>
        <v>141965.97612621516</v>
      </c>
      <c r="N61">
        <f t="shared" si="9"/>
        <v>142672.64586459639</v>
      </c>
      <c r="O61">
        <f t="shared" si="10"/>
        <v>29027.06430034649</v>
      </c>
      <c r="P61">
        <f t="shared" si="14"/>
        <v>39248.391718096354</v>
      </c>
      <c r="Q61">
        <f t="shared" si="15"/>
        <v>0</v>
      </c>
      <c r="R61">
        <f t="shared" si="12"/>
        <v>2300592.9612214216</v>
      </c>
      <c r="S61" s="6">
        <f t="shared" si="13"/>
        <v>-0.32467221550414282</v>
      </c>
      <c r="U61" s="5">
        <v>0.85</v>
      </c>
      <c r="V61" s="5">
        <v>0.02</v>
      </c>
      <c r="W61" t="s">
        <v>29</v>
      </c>
      <c r="X61" s="5">
        <v>0.85</v>
      </c>
      <c r="Y61" t="s">
        <v>29</v>
      </c>
      <c r="Z61" t="s">
        <v>29</v>
      </c>
    </row>
    <row r="62" spans="1:26" x14ac:dyDescent="0.2">
      <c r="A62" s="2">
        <v>2041</v>
      </c>
      <c r="B62" s="1">
        <v>12.5</v>
      </c>
      <c r="C62" s="4">
        <v>278115260</v>
      </c>
      <c r="D62" s="4">
        <v>25178894</v>
      </c>
      <c r="E62" s="4">
        <v>18602740</v>
      </c>
      <c r="F62" s="4">
        <v>10430353</v>
      </c>
      <c r="G62" s="4">
        <v>17720015</v>
      </c>
      <c r="H62" s="4">
        <v>995149</v>
      </c>
      <c r="J62" s="4">
        <v>343404925</v>
      </c>
      <c r="L62">
        <f t="shared" si="11"/>
        <v>1946144.774090437</v>
      </c>
      <c r="M62">
        <f t="shared" si="8"/>
        <v>135922.48265612414</v>
      </c>
      <c r="N62">
        <f t="shared" si="9"/>
        <v>143788.48888670772</v>
      </c>
      <c r="O62">
        <f t="shared" si="10"/>
        <v>35104.904210919849</v>
      </c>
      <c r="P62">
        <f t="shared" si="14"/>
        <v>54586.386218363652</v>
      </c>
      <c r="Q62">
        <f t="shared" si="15"/>
        <v>0</v>
      </c>
      <c r="R62">
        <f t="shared" si="12"/>
        <v>2315547.0360625526</v>
      </c>
      <c r="S62" s="6">
        <f t="shared" si="13"/>
        <v>-0.33328271192159642</v>
      </c>
      <c r="U62" s="5">
        <v>0.85</v>
      </c>
      <c r="V62" s="5">
        <v>0.02</v>
      </c>
      <c r="W62" t="s">
        <v>29</v>
      </c>
      <c r="X62" s="5">
        <v>0.85</v>
      </c>
      <c r="Y62" t="s">
        <v>29</v>
      </c>
      <c r="Z62" t="s">
        <v>29</v>
      </c>
    </row>
    <row r="63" spans="1:26" x14ac:dyDescent="0.2">
      <c r="A63" s="2">
        <v>2042</v>
      </c>
      <c r="B63" s="1">
        <v>12.6</v>
      </c>
      <c r="C63" s="4">
        <v>276880012</v>
      </c>
      <c r="D63" s="4">
        <v>24134983</v>
      </c>
      <c r="E63" s="4">
        <v>18769974</v>
      </c>
      <c r="F63" s="4">
        <v>12628942</v>
      </c>
      <c r="G63" s="4">
        <v>24673453</v>
      </c>
      <c r="H63" s="4">
        <v>1305324</v>
      </c>
      <c r="J63" s="4">
        <v>346492042</v>
      </c>
      <c r="L63">
        <f t="shared" si="11"/>
        <v>1937500.9785651369</v>
      </c>
      <c r="M63">
        <f t="shared" si="8"/>
        <v>130287.16861921539</v>
      </c>
      <c r="N63">
        <f t="shared" si="9"/>
        <v>145081.11159446364</v>
      </c>
      <c r="O63">
        <f t="shared" si="10"/>
        <v>42504.58246190349</v>
      </c>
      <c r="P63">
        <f t="shared" si="14"/>
        <v>76006.40489292155</v>
      </c>
      <c r="Q63">
        <f t="shared" si="15"/>
        <v>0</v>
      </c>
      <c r="R63">
        <f t="shared" si="12"/>
        <v>2331380.2461336409</v>
      </c>
      <c r="S63" s="6">
        <f t="shared" si="13"/>
        <v>-0.3423994108844044</v>
      </c>
      <c r="U63" s="5">
        <v>0.85</v>
      </c>
      <c r="V63" s="5">
        <v>0.02</v>
      </c>
      <c r="W63" t="s">
        <v>29</v>
      </c>
      <c r="X63" s="5">
        <v>0.85</v>
      </c>
      <c r="Y63" t="s">
        <v>29</v>
      </c>
      <c r="Z63" t="s">
        <v>29</v>
      </c>
    </row>
    <row r="64" spans="1:26" x14ac:dyDescent="0.2">
      <c r="A64" s="2">
        <v>2043</v>
      </c>
      <c r="B64" s="1">
        <v>12.7</v>
      </c>
      <c r="C64" s="4">
        <v>273008485</v>
      </c>
      <c r="D64" s="4">
        <v>23063745</v>
      </c>
      <c r="E64" s="4">
        <v>18880908</v>
      </c>
      <c r="F64" s="4">
        <v>15244299</v>
      </c>
      <c r="G64" s="4">
        <v>34250604</v>
      </c>
      <c r="H64" s="4">
        <v>1706951</v>
      </c>
      <c r="J64" s="4">
        <v>348539888</v>
      </c>
      <c r="L64">
        <f t="shared" si="11"/>
        <v>1910409.5056312173</v>
      </c>
      <c r="M64">
        <f t="shared" si="8"/>
        <v>124504.33604223319</v>
      </c>
      <c r="N64">
        <f t="shared" si="9"/>
        <v>145938.56765879385</v>
      </c>
      <c r="O64">
        <f t="shared" si="10"/>
        <v>51306.955398117512</v>
      </c>
      <c r="P64">
        <f t="shared" si="14"/>
        <v>105508.75369779492</v>
      </c>
      <c r="Q64">
        <f t="shared" si="15"/>
        <v>0</v>
      </c>
      <c r="R64">
        <f t="shared" si="12"/>
        <v>2337668.1184281567</v>
      </c>
      <c r="S64" s="6">
        <f t="shared" si="13"/>
        <v>-0.34601994257496527</v>
      </c>
      <c r="U64" s="5">
        <v>0.85</v>
      </c>
      <c r="V64" s="5">
        <v>0.02</v>
      </c>
      <c r="W64" t="s">
        <v>29</v>
      </c>
      <c r="X64" s="5">
        <v>0.85</v>
      </c>
      <c r="Y64" t="s">
        <v>29</v>
      </c>
      <c r="Z64" t="s">
        <v>29</v>
      </c>
    </row>
    <row r="65" spans="1:26" x14ac:dyDescent="0.2">
      <c r="A65" s="2">
        <v>2044</v>
      </c>
      <c r="B65" s="1">
        <v>12.8</v>
      </c>
      <c r="C65" s="4">
        <v>267322633</v>
      </c>
      <c r="D65" s="4">
        <v>22088131</v>
      </c>
      <c r="E65" s="4">
        <v>19033928</v>
      </c>
      <c r="F65" s="4">
        <v>18441415</v>
      </c>
      <c r="G65" s="4">
        <v>47648898</v>
      </c>
      <c r="H65" s="4">
        <v>2237020</v>
      </c>
      <c r="J65" s="4">
        <v>351364619</v>
      </c>
      <c r="L65">
        <f t="shared" si="11"/>
        <v>1870622.0766492491</v>
      </c>
      <c r="M65">
        <f t="shared" si="8"/>
        <v>119237.70769096122</v>
      </c>
      <c r="N65">
        <f t="shared" si="9"/>
        <v>147121.32431557903</v>
      </c>
      <c r="O65">
        <f t="shared" si="10"/>
        <v>62067.324767322869</v>
      </c>
      <c r="P65">
        <f t="shared" si="14"/>
        <v>146782.1076397179</v>
      </c>
      <c r="Q65">
        <f t="shared" si="15"/>
        <v>0</v>
      </c>
      <c r="R65">
        <f t="shared" si="12"/>
        <v>2345830.54106283</v>
      </c>
      <c r="S65" s="6">
        <f t="shared" si="13"/>
        <v>-0.35071983284569508</v>
      </c>
      <c r="U65" s="5">
        <v>0.85</v>
      </c>
      <c r="V65" s="5">
        <v>0.02</v>
      </c>
      <c r="W65" t="s">
        <v>29</v>
      </c>
      <c r="X65" s="5">
        <v>0.85</v>
      </c>
      <c r="Y65" t="s">
        <v>29</v>
      </c>
      <c r="Z65" t="s">
        <v>29</v>
      </c>
    </row>
    <row r="66" spans="1:26" x14ac:dyDescent="0.2">
      <c r="A66" s="2">
        <v>2045</v>
      </c>
      <c r="B66" s="1">
        <v>12.9</v>
      </c>
      <c r="C66" s="4">
        <v>258695420</v>
      </c>
      <c r="D66" s="4">
        <v>21180754</v>
      </c>
      <c r="E66" s="4">
        <v>19212650</v>
      </c>
      <c r="F66" s="4">
        <v>22337488</v>
      </c>
      <c r="G66" s="4">
        <v>66372901</v>
      </c>
      <c r="H66" s="4">
        <v>2935432</v>
      </c>
      <c r="J66" s="4">
        <v>354663809</v>
      </c>
      <c r="L66">
        <f t="shared" si="11"/>
        <v>1810252.1224981714</v>
      </c>
      <c r="M66">
        <f t="shared" si="8"/>
        <v>114339.44112909133</v>
      </c>
      <c r="N66">
        <f t="shared" si="9"/>
        <v>148502.74266098463</v>
      </c>
      <c r="O66">
        <f t="shared" si="10"/>
        <v>75180.137868063684</v>
      </c>
      <c r="P66">
        <f t="shared" si="14"/>
        <v>204461.27209368703</v>
      </c>
      <c r="Q66">
        <f t="shared" si="15"/>
        <v>0</v>
      </c>
      <c r="R66">
        <f t="shared" si="12"/>
        <v>2352735.7162499982</v>
      </c>
      <c r="S66" s="6">
        <f t="shared" si="13"/>
        <v>-0.35469580507016629</v>
      </c>
      <c r="U66" s="5">
        <v>0.85</v>
      </c>
      <c r="V66" s="5">
        <v>0.02</v>
      </c>
      <c r="W66" t="s">
        <v>29</v>
      </c>
      <c r="X66" s="5">
        <v>0.85</v>
      </c>
      <c r="Y66" t="s">
        <v>29</v>
      </c>
      <c r="Z66" t="s">
        <v>29</v>
      </c>
    </row>
    <row r="67" spans="1:26" x14ac:dyDescent="0.2">
      <c r="A67" s="2">
        <v>2046</v>
      </c>
      <c r="B67" s="1">
        <v>13</v>
      </c>
      <c r="C67" s="4">
        <v>245475349</v>
      </c>
      <c r="D67" s="4">
        <v>20300765</v>
      </c>
      <c r="E67" s="4">
        <v>19383610</v>
      </c>
      <c r="F67" s="4">
        <v>27043504</v>
      </c>
      <c r="G67" s="4">
        <v>92409637</v>
      </c>
      <c r="H67" s="4">
        <v>3850018</v>
      </c>
      <c r="J67" s="4">
        <v>357819704</v>
      </c>
      <c r="L67">
        <f t="shared" si="11"/>
        <v>1717743.0955222528</v>
      </c>
      <c r="M67">
        <f t="shared" si="8"/>
        <v>109589.02240180015</v>
      </c>
      <c r="N67">
        <f t="shared" si="9"/>
        <v>149824.16520734454</v>
      </c>
      <c r="O67">
        <f t="shared" si="10"/>
        <v>91018.934589042939</v>
      </c>
      <c r="P67">
        <f t="shared" si="14"/>
        <v>284667.26103678741</v>
      </c>
      <c r="Q67">
        <f t="shared" si="15"/>
        <v>0</v>
      </c>
      <c r="R67">
        <f t="shared" si="12"/>
        <v>2352842.4787572278</v>
      </c>
      <c r="S67" s="6">
        <f t="shared" si="13"/>
        <v>-0.35475727849435224</v>
      </c>
      <c r="U67" s="5">
        <v>0.85</v>
      </c>
      <c r="V67" s="5">
        <v>0.02</v>
      </c>
      <c r="W67" t="s">
        <v>29</v>
      </c>
      <c r="X67" s="5">
        <v>0.85</v>
      </c>
      <c r="Y67" t="s">
        <v>29</v>
      </c>
      <c r="Z67" t="s">
        <v>29</v>
      </c>
    </row>
    <row r="68" spans="1:26" x14ac:dyDescent="0.2">
      <c r="A68" s="2">
        <v>2047</v>
      </c>
      <c r="B68" s="1">
        <v>13.1</v>
      </c>
      <c r="C68" s="4">
        <v>225798934</v>
      </c>
      <c r="D68" s="4">
        <v>19424936</v>
      </c>
      <c r="E68" s="4">
        <v>19523525</v>
      </c>
      <c r="F68" s="4">
        <v>32686452</v>
      </c>
      <c r="G68" s="4">
        <v>128445805</v>
      </c>
      <c r="H68" s="4">
        <v>5041151</v>
      </c>
      <c r="J68" s="4">
        <v>360402528</v>
      </c>
      <c r="L68">
        <f t="shared" si="11"/>
        <v>1580055.0296998862</v>
      </c>
      <c r="M68">
        <f t="shared" si="8"/>
        <v>104861.06048011166</v>
      </c>
      <c r="N68">
        <f t="shared" si="9"/>
        <v>150905.62774579771</v>
      </c>
      <c r="O68">
        <f t="shared" si="10"/>
        <v>110011.11529541036</v>
      </c>
      <c r="P68">
        <f t="shared" si="14"/>
        <v>395676.43254583166</v>
      </c>
      <c r="Q68">
        <f t="shared" si="15"/>
        <v>0</v>
      </c>
      <c r="R68">
        <f t="shared" si="12"/>
        <v>2341509.2657670379</v>
      </c>
      <c r="S68" s="6">
        <f t="shared" si="13"/>
        <v>-0.34823165983275084</v>
      </c>
      <c r="U68" s="5">
        <v>0.85</v>
      </c>
      <c r="V68" s="5">
        <v>0.02</v>
      </c>
      <c r="W68" t="s">
        <v>29</v>
      </c>
      <c r="X68" s="5">
        <v>0.85</v>
      </c>
      <c r="Y68" t="s">
        <v>29</v>
      </c>
      <c r="Z68" t="s">
        <v>29</v>
      </c>
    </row>
    <row r="69" spans="1:26" x14ac:dyDescent="0.2">
      <c r="A69" s="2">
        <v>2048</v>
      </c>
      <c r="B69" s="1">
        <v>13.2</v>
      </c>
      <c r="C69" s="4">
        <v>198094716</v>
      </c>
      <c r="D69" s="4">
        <v>18603779</v>
      </c>
      <c r="E69" s="4">
        <v>19682317</v>
      </c>
      <c r="F69" s="4">
        <v>39542763</v>
      </c>
      <c r="G69" s="4">
        <v>178696890</v>
      </c>
      <c r="H69" s="4">
        <v>6606799</v>
      </c>
      <c r="J69" s="4">
        <v>363333810</v>
      </c>
      <c r="L69">
        <f t="shared" si="11"/>
        <v>1386191.4528470291</v>
      </c>
      <c r="M69">
        <f t="shared" si="8"/>
        <v>100428.23280744045</v>
      </c>
      <c r="N69">
        <f t="shared" si="9"/>
        <v>152132.99864531562</v>
      </c>
      <c r="O69">
        <f t="shared" si="10"/>
        <v>133087.04962814829</v>
      </c>
      <c r="P69">
        <f t="shared" si="14"/>
        <v>550474.55961862614</v>
      </c>
      <c r="Q69">
        <f t="shared" si="15"/>
        <v>0</v>
      </c>
      <c r="R69">
        <f t="shared" si="12"/>
        <v>2322314.2935465598</v>
      </c>
      <c r="S69" s="6">
        <f t="shared" si="13"/>
        <v>-0.33717927168480943</v>
      </c>
      <c r="U69" s="5">
        <v>0.85</v>
      </c>
      <c r="V69" s="5">
        <v>0.02</v>
      </c>
      <c r="W69" t="s">
        <v>29</v>
      </c>
      <c r="X69" s="5">
        <v>0.85</v>
      </c>
      <c r="Y69" t="s">
        <v>29</v>
      </c>
      <c r="Z69" t="s">
        <v>29</v>
      </c>
    </row>
    <row r="70" spans="1:26" x14ac:dyDescent="0.2">
      <c r="A70" s="2">
        <v>2049</v>
      </c>
      <c r="B70" s="1">
        <v>13.4</v>
      </c>
      <c r="C70" s="4">
        <v>159220164</v>
      </c>
      <c r="D70" s="4">
        <v>17828961</v>
      </c>
      <c r="E70" s="4">
        <v>19855346</v>
      </c>
      <c r="F70" s="4">
        <v>47868465</v>
      </c>
      <c r="G70" s="4">
        <v>248769613</v>
      </c>
      <c r="H70" s="4">
        <v>8664344</v>
      </c>
      <c r="J70" s="4">
        <v>366527919</v>
      </c>
      <c r="L70">
        <f t="shared" si="11"/>
        <v>1114162.1286743574</v>
      </c>
      <c r="M70">
        <f t="shared" si="8"/>
        <v>96245.55559506359</v>
      </c>
      <c r="N70">
        <f t="shared" si="9"/>
        <v>153470.41337258578</v>
      </c>
      <c r="O70">
        <f t="shared" si="10"/>
        <v>161108.43789742966</v>
      </c>
      <c r="P70">
        <f t="shared" si="14"/>
        <v>766333.10833037447</v>
      </c>
      <c r="Q70">
        <f t="shared" si="15"/>
        <v>0</v>
      </c>
      <c r="R70">
        <f t="shared" si="12"/>
        <v>2291319.6438698107</v>
      </c>
      <c r="S70" s="6">
        <f t="shared" si="13"/>
        <v>-0.31933267650341945</v>
      </c>
      <c r="U70" s="5">
        <v>0.85</v>
      </c>
      <c r="V70" s="5">
        <v>0.02</v>
      </c>
      <c r="W70" t="s">
        <v>29</v>
      </c>
      <c r="X70" s="5">
        <v>0.85</v>
      </c>
      <c r="Y70" t="s">
        <v>29</v>
      </c>
      <c r="Z70" t="s">
        <v>29</v>
      </c>
    </row>
    <row r="71" spans="1:26" x14ac:dyDescent="0.2">
      <c r="A71" s="2">
        <v>2050</v>
      </c>
      <c r="B71" s="1">
        <v>13.5</v>
      </c>
      <c r="C71" s="4">
        <v>104780395</v>
      </c>
      <c r="D71" s="4">
        <v>17076131</v>
      </c>
      <c r="E71" s="4">
        <v>20017844</v>
      </c>
      <c r="F71" s="4">
        <v>57912270</v>
      </c>
      <c r="G71" s="4">
        <v>346111681</v>
      </c>
      <c r="H71" s="4">
        <v>11355830</v>
      </c>
      <c r="J71" s="4">
        <v>369527617</v>
      </c>
      <c r="L71">
        <f t="shared" si="11"/>
        <v>733213.33808285731</v>
      </c>
      <c r="M71">
        <f t="shared" si="8"/>
        <v>92181.575556146476</v>
      </c>
      <c r="N71">
        <f t="shared" si="9"/>
        <v>154726.42952220206</v>
      </c>
      <c r="O71">
        <f t="shared" si="10"/>
        <v>194912.35732740082</v>
      </c>
      <c r="P71">
        <f t="shared" si="14"/>
        <v>1066194.6896632467</v>
      </c>
      <c r="Q71">
        <f t="shared" si="15"/>
        <v>0</v>
      </c>
      <c r="R71">
        <f t="shared" si="12"/>
        <v>2241228.3901518532</v>
      </c>
      <c r="S71" s="6">
        <f t="shared" si="13"/>
        <v>-0.29049033317784567</v>
      </c>
      <c r="U71" s="5">
        <v>0.85</v>
      </c>
      <c r="V71" s="5">
        <v>0.02</v>
      </c>
      <c r="W71" t="s">
        <v>29</v>
      </c>
      <c r="X71" s="5">
        <v>0.85</v>
      </c>
      <c r="Y71" t="s">
        <v>29</v>
      </c>
      <c r="Z71" t="s">
        <v>29</v>
      </c>
    </row>
    <row r="72" spans="1:26" x14ac:dyDescent="0.2">
      <c r="A72" s="1"/>
      <c r="B72" s="1"/>
      <c r="C72" s="1"/>
      <c r="D72" s="1"/>
      <c r="E72" s="1"/>
      <c r="F72" s="1"/>
      <c r="G72" s="1"/>
      <c r="H72" s="1"/>
      <c r="J72" s="1"/>
    </row>
    <row r="73" spans="1:26" x14ac:dyDescent="0.2">
      <c r="A73" s="1" t="s">
        <v>40</v>
      </c>
      <c r="B73" s="1"/>
      <c r="C73" s="1"/>
      <c r="D73" s="1"/>
      <c r="E73" s="1"/>
      <c r="F73" s="1"/>
      <c r="G73" s="1"/>
      <c r="H73" s="1"/>
      <c r="J73" s="1"/>
    </row>
    <row r="74" spans="1:26" s="8" customFormat="1" ht="51" x14ac:dyDescent="0.2">
      <c r="C74" s="8" t="s">
        <v>17</v>
      </c>
      <c r="D74" s="8" t="s">
        <v>18</v>
      </c>
      <c r="E74" s="8" t="s">
        <v>19</v>
      </c>
      <c r="F74" s="8" t="s">
        <v>20</v>
      </c>
      <c r="G74" s="8" t="s">
        <v>21</v>
      </c>
      <c r="H74" s="8" t="s">
        <v>22</v>
      </c>
      <c r="I74" s="8" t="s">
        <v>11</v>
      </c>
      <c r="J74" s="8" t="s">
        <v>24</v>
      </c>
      <c r="K74" s="8" t="s">
        <v>25</v>
      </c>
      <c r="L74" s="8" t="s">
        <v>26</v>
      </c>
      <c r="M74"/>
    </row>
    <row r="75" spans="1:26" x14ac:dyDescent="0.2">
      <c r="A75" s="1" t="s">
        <v>34</v>
      </c>
      <c r="B75" s="1" t="s">
        <v>16</v>
      </c>
      <c r="C75" s="1">
        <v>0.12963473479826954</v>
      </c>
      <c r="D75" s="1">
        <v>0.12963473479826954</v>
      </c>
      <c r="E75" s="1">
        <v>0.12963473479826954</v>
      </c>
      <c r="F75">
        <v>0.12539416533851364</v>
      </c>
      <c r="G75" s="1">
        <v>0.12539416533851364</v>
      </c>
      <c r="H75" s="1">
        <v>0.12539416533851364</v>
      </c>
      <c r="I75" s="1">
        <v>0.16102969339318174</v>
      </c>
      <c r="J75" s="1">
        <v>0</v>
      </c>
      <c r="K75" s="1">
        <v>0.12539416533851364</v>
      </c>
      <c r="L75" s="1">
        <v>0.16561791551665461</v>
      </c>
    </row>
    <row r="76" spans="1:26" ht="17" x14ac:dyDescent="0.2">
      <c r="A76" s="8" t="s">
        <v>35</v>
      </c>
      <c r="B76" s="1" t="s">
        <v>16</v>
      </c>
      <c r="C76" s="1">
        <v>0.18191167913416847</v>
      </c>
      <c r="D76" s="1">
        <v>0.18191167913416847</v>
      </c>
      <c r="E76" s="1">
        <v>0.18191167913416847</v>
      </c>
      <c r="F76">
        <v>0.17684582531770712</v>
      </c>
      <c r="G76" s="1">
        <v>0.17684582531770712</v>
      </c>
      <c r="H76" s="1">
        <v>0.17684582531770712</v>
      </c>
      <c r="I76" s="1">
        <v>0.16102969339318174</v>
      </c>
      <c r="J76" s="1">
        <v>0</v>
      </c>
      <c r="K76" s="1">
        <v>0.17684582531770712</v>
      </c>
      <c r="L76" s="1">
        <v>0.16561791551665461</v>
      </c>
    </row>
    <row r="77" spans="1:26" x14ac:dyDescent="0.2">
      <c r="A77" s="1"/>
      <c r="B77" s="1"/>
      <c r="C77" s="1"/>
      <c r="D77" s="1"/>
      <c r="E77" s="1"/>
      <c r="F77" s="1"/>
      <c r="G77" s="1"/>
      <c r="H77" s="1"/>
      <c r="J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J78" s="1"/>
    </row>
  </sheetData>
  <mergeCells count="4">
    <mergeCell ref="L2:S2"/>
    <mergeCell ref="U2:Z2"/>
    <mergeCell ref="L38:S38"/>
    <mergeCell ref="U38:Z38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C079B-2742-904F-9E1C-2356B81A0002}">
  <dimension ref="A1:BG78"/>
  <sheetViews>
    <sheetView tabSelected="1" topLeftCell="N1" workbookViewId="0">
      <selection activeCell="AB49" sqref="AB49"/>
    </sheetView>
  </sheetViews>
  <sheetFormatPr baseColWidth="10" defaultRowHeight="16" x14ac:dyDescent="0.2"/>
  <cols>
    <col min="2" max="2" width="35.1640625" customWidth="1"/>
    <col min="9" max="10" width="11.1640625" bestFit="1" customWidth="1"/>
    <col min="12" max="14" width="12.1640625" bestFit="1" customWidth="1"/>
    <col min="15" max="15" width="11.1640625" bestFit="1" customWidth="1"/>
    <col min="30" max="30" width="14.1640625" bestFit="1" customWidth="1"/>
    <col min="32" max="32" width="14.1640625" bestFit="1" customWidth="1"/>
  </cols>
  <sheetData>
    <row r="1" spans="1:59" ht="22" x14ac:dyDescent="0.3">
      <c r="A1" s="9" t="s">
        <v>41</v>
      </c>
    </row>
    <row r="2" spans="1:59" x14ac:dyDescent="0.2">
      <c r="A2" s="1"/>
      <c r="B2" s="1"/>
      <c r="C2" s="1">
        <v>40.200000000000003</v>
      </c>
      <c r="D2" s="1">
        <v>42.7</v>
      </c>
      <c r="E2" s="1">
        <v>48</v>
      </c>
      <c r="F2" s="1">
        <v>19.899999999999999</v>
      </c>
      <c r="G2" s="1">
        <v>18.600000000000001</v>
      </c>
      <c r="H2" s="1">
        <v>120</v>
      </c>
      <c r="J2" s="1"/>
      <c r="L2" s="13" t="s">
        <v>23</v>
      </c>
      <c r="M2" s="13"/>
      <c r="N2" s="13"/>
      <c r="O2" s="13"/>
      <c r="P2" s="13"/>
      <c r="Q2" s="13"/>
      <c r="R2" s="13"/>
      <c r="S2" s="13"/>
    </row>
    <row r="3" spans="1:59" x14ac:dyDescent="0.2">
      <c r="A3" s="2" t="s">
        <v>0</v>
      </c>
      <c r="B3" s="3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J3" s="1" t="s">
        <v>15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28</v>
      </c>
      <c r="S3" s="1" t="s">
        <v>30</v>
      </c>
      <c r="V3" s="1" t="s">
        <v>43</v>
      </c>
      <c r="Y3" t="s">
        <v>44</v>
      </c>
    </row>
    <row r="4" spans="1:59" x14ac:dyDescent="0.2">
      <c r="A4" s="2">
        <v>2019</v>
      </c>
      <c r="B4" s="1">
        <v>9.9</v>
      </c>
      <c r="C4" s="4">
        <v>196317426</v>
      </c>
      <c r="D4" s="4">
        <v>50567463</v>
      </c>
      <c r="E4" s="4">
        <v>11574174</v>
      </c>
      <c r="F4" s="4">
        <v>153689</v>
      </c>
      <c r="G4" s="1" t="s">
        <v>8</v>
      </c>
      <c r="H4" s="1" t="s">
        <v>8</v>
      </c>
      <c r="I4" s="11"/>
      <c r="J4" s="7">
        <v>263925621</v>
      </c>
      <c r="L4">
        <f>C4*1000*C$2*$D$75/1000000</f>
        <v>1954709.2008327511</v>
      </c>
      <c r="M4">
        <f>D4*1000*D$2*$H$75/1000000</f>
        <v>98650.124013402572</v>
      </c>
      <c r="N4">
        <f t="shared" ref="N4:N35" si="0">E4*1000*E$2*$I$75/1000000</f>
        <v>0</v>
      </c>
      <c r="O4">
        <f t="shared" ref="O4:O35" si="1">F4*1000*F$2*$K$75/1000000</f>
        <v>0</v>
      </c>
      <c r="P4" t="str">
        <f>G4</f>
        <v xml:space="preserve"> -   </v>
      </c>
      <c r="Q4" t="str">
        <f>H4</f>
        <v xml:space="preserve"> -   </v>
      </c>
      <c r="R4">
        <f>SUM(L4:Q4)</f>
        <v>2053359.3248461536</v>
      </c>
      <c r="S4" t="s">
        <v>29</v>
      </c>
    </row>
    <row r="5" spans="1:59" x14ac:dyDescent="0.2">
      <c r="A5" s="2">
        <v>2020</v>
      </c>
      <c r="B5" s="1">
        <v>10.4</v>
      </c>
      <c r="C5" s="4">
        <v>198809774</v>
      </c>
      <c r="D5" s="4">
        <v>52244612</v>
      </c>
      <c r="E5" s="4">
        <v>12298869</v>
      </c>
      <c r="F5" s="4">
        <v>176122</v>
      </c>
      <c r="G5" s="1" t="s">
        <v>8</v>
      </c>
      <c r="H5" s="1" t="s">
        <v>8</v>
      </c>
      <c r="I5" s="11"/>
      <c r="J5" s="7">
        <v>269075831</v>
      </c>
      <c r="L5">
        <f>C5*1000*C$2*$D$75/1000000</f>
        <v>1979525.2126689961</v>
      </c>
      <c r="M5">
        <f t="shared" ref="M5:M35" si="2">D5*1000*D$2*$H$75/1000000</f>
        <v>101922.0096691839</v>
      </c>
      <c r="N5">
        <f t="shared" si="0"/>
        <v>0</v>
      </c>
      <c r="O5">
        <f t="shared" si="1"/>
        <v>0</v>
      </c>
      <c r="P5" t="str">
        <f t="shared" ref="P5:Q8" si="3">G5</f>
        <v xml:space="preserve"> -   </v>
      </c>
      <c r="Q5" t="str">
        <f t="shared" si="3"/>
        <v xml:space="preserve"> -   </v>
      </c>
      <c r="R5">
        <f>SUM(L5:Q5)</f>
        <v>2081447.2223381801</v>
      </c>
      <c r="S5" s="6">
        <f>1-R5/$R$4</f>
        <v>-1.3678997704958951E-2</v>
      </c>
      <c r="V5" s="6">
        <v>0</v>
      </c>
      <c r="Y5">
        <f>R5*(1+V5)</f>
        <v>2081447.2223381801</v>
      </c>
      <c r="AB5" t="s">
        <v>41</v>
      </c>
      <c r="AC5" s="12">
        <v>2081447.2223381801</v>
      </c>
      <c r="AD5" s="12">
        <v>2139315.4553297823</v>
      </c>
      <c r="AE5" s="12">
        <v>2169558.2305269497</v>
      </c>
      <c r="AF5" s="12">
        <v>2184187.3246819144</v>
      </c>
      <c r="AG5">
        <v>2198610.8749198625</v>
      </c>
      <c r="AH5">
        <v>2226152.3000948285</v>
      </c>
      <c r="AI5">
        <v>2248984.3117424441</v>
      </c>
      <c r="AJ5">
        <v>2269228.5655715805</v>
      </c>
      <c r="AK5">
        <v>2281330.9379148986</v>
      </c>
      <c r="AL5">
        <v>2296430.934124643</v>
      </c>
      <c r="AM5">
        <v>2308939.7526774746</v>
      </c>
      <c r="AN5">
        <v>2314988.1799215567</v>
      </c>
      <c r="AO5">
        <v>2317377.7893709429</v>
      </c>
      <c r="AP5">
        <v>2319994.4098666366</v>
      </c>
      <c r="AQ5">
        <v>2324318.9518522792</v>
      </c>
      <c r="AR5">
        <v>557878.41004691436</v>
      </c>
      <c r="AS5">
        <v>558452.8201644778</v>
      </c>
      <c r="AT5">
        <v>558363.29174500983</v>
      </c>
      <c r="AU5">
        <v>558404.24187218968</v>
      </c>
      <c r="AV5">
        <v>556978.30976664112</v>
      </c>
      <c r="AW5">
        <v>555441.09911444446</v>
      </c>
      <c r="AX5">
        <v>552142.1713204009</v>
      </c>
      <c r="AY5">
        <v>548588.23294678656</v>
      </c>
      <c r="AZ5">
        <v>542320.84531062271</v>
      </c>
      <c r="BA5">
        <v>536021.17035431031</v>
      </c>
      <c r="BB5">
        <v>528947.65898627928</v>
      </c>
      <c r="BC5">
        <v>519883.00868932263</v>
      </c>
      <c r="BD5">
        <v>507911.92329940444</v>
      </c>
      <c r="BE5">
        <v>493976.55715965101</v>
      </c>
      <c r="BF5">
        <v>477436.29773211409</v>
      </c>
      <c r="BG5">
        <v>457093.24084965675</v>
      </c>
    </row>
    <row r="6" spans="1:59" x14ac:dyDescent="0.2">
      <c r="A6" s="2">
        <v>2021</v>
      </c>
      <c r="B6" s="1">
        <v>10.6</v>
      </c>
      <c r="C6" s="4">
        <v>204568676</v>
      </c>
      <c r="D6" s="4">
        <v>52515022</v>
      </c>
      <c r="E6" s="4">
        <v>13830180</v>
      </c>
      <c r="F6" s="4">
        <v>163472</v>
      </c>
      <c r="G6" s="1" t="s">
        <v>8</v>
      </c>
      <c r="H6" s="1" t="s">
        <v>8</v>
      </c>
      <c r="I6" s="11"/>
      <c r="J6" s="4">
        <v>276944127</v>
      </c>
      <c r="L6">
        <f t="shared" ref="L6:L19" si="4">C6*1000*C$2*$D$75/1000000</f>
        <v>2036865.9131633786</v>
      </c>
      <c r="M6">
        <f t="shared" si="2"/>
        <v>102449.5421664038</v>
      </c>
      <c r="N6">
        <f t="shared" si="0"/>
        <v>0</v>
      </c>
      <c r="O6">
        <f t="shared" si="1"/>
        <v>0</v>
      </c>
      <c r="P6" t="str">
        <f t="shared" si="3"/>
        <v xml:space="preserve"> -   </v>
      </c>
      <c r="Q6" t="str">
        <f t="shared" si="3"/>
        <v xml:space="preserve"> -   </v>
      </c>
      <c r="R6">
        <f>SUM(L6:Q6)</f>
        <v>2139315.4553297823</v>
      </c>
      <c r="S6" s="6">
        <f>1-R6/$R$4</f>
        <v>-4.1861221971010387E-2</v>
      </c>
      <c r="V6" s="6">
        <v>0</v>
      </c>
      <c r="Y6">
        <f t="shared" ref="Y6:Y19" si="5">R6*(1+V6)</f>
        <v>2139315.4553297823</v>
      </c>
      <c r="Z6" s="6"/>
      <c r="AA6" s="6"/>
      <c r="AB6" s="6" t="s">
        <v>42</v>
      </c>
      <c r="AC6">
        <v>2081447.2223381801</v>
      </c>
      <c r="AD6">
        <v>2139315.4553297823</v>
      </c>
      <c r="AE6">
        <v>2169558.2305269497</v>
      </c>
      <c r="AF6">
        <v>2184187.3246819144</v>
      </c>
      <c r="AG6">
        <v>2200809.4857947822</v>
      </c>
      <c r="AH6">
        <v>2188307.7109932164</v>
      </c>
      <c r="AI6">
        <v>2168020.8765197159</v>
      </c>
      <c r="AJ6">
        <v>2053651.8518422805</v>
      </c>
      <c r="AK6">
        <v>1722404.8581257486</v>
      </c>
      <c r="AL6">
        <v>1506458.692785766</v>
      </c>
      <c r="AM6">
        <v>1399217.4901225497</v>
      </c>
      <c r="AN6">
        <v>1287133.4280363857</v>
      </c>
      <c r="AO6">
        <v>1174910.5392110681</v>
      </c>
      <c r="AP6">
        <v>1060237.4453090529</v>
      </c>
      <c r="AQ6">
        <v>945997.81340387766</v>
      </c>
      <c r="AR6">
        <v>199162.59238674841</v>
      </c>
      <c r="AS6">
        <v>170886.56297033024</v>
      </c>
      <c r="AT6">
        <v>142941.00268672252</v>
      </c>
      <c r="AU6">
        <v>114472.86958379886</v>
      </c>
      <c r="AV6">
        <v>85774.659704062753</v>
      </c>
      <c r="AW6">
        <v>57210.43320878777</v>
      </c>
      <c r="AX6">
        <v>28711.392908660873</v>
      </c>
      <c r="AY6">
        <v>28526.588113232927</v>
      </c>
      <c r="AZ6">
        <v>28200.683956152407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 spans="1:59" x14ac:dyDescent="0.2">
      <c r="A7" s="2">
        <v>2022</v>
      </c>
      <c r="B7" s="1">
        <v>10.7</v>
      </c>
      <c r="C7" s="4">
        <v>207509604</v>
      </c>
      <c r="D7" s="4">
        <v>53007269</v>
      </c>
      <c r="E7" s="4">
        <v>14075107</v>
      </c>
      <c r="F7" s="4">
        <v>234457</v>
      </c>
      <c r="G7" s="1" t="s">
        <v>8</v>
      </c>
      <c r="H7" s="1" t="s">
        <v>8</v>
      </c>
      <c r="I7" s="11"/>
      <c r="J7" s="4">
        <v>280735505</v>
      </c>
      <c r="L7">
        <f t="shared" si="4"/>
        <v>2066148.3825687522</v>
      </c>
      <c r="M7">
        <f t="shared" si="2"/>
        <v>103409.84795819773</v>
      </c>
      <c r="N7">
        <f t="shared" si="0"/>
        <v>0</v>
      </c>
      <c r="O7">
        <f t="shared" si="1"/>
        <v>0</v>
      </c>
      <c r="P7" t="str">
        <f t="shared" si="3"/>
        <v xml:space="preserve"> -   </v>
      </c>
      <c r="Q7" t="str">
        <f t="shared" si="3"/>
        <v xml:space="preserve"> -   </v>
      </c>
      <c r="R7">
        <f t="shared" ref="R7:R35" si="6">SUM(L7:Q7)</f>
        <v>2169558.2305269497</v>
      </c>
      <c r="S7" s="6">
        <f t="shared" ref="S7:S35" si="7">1-R7/$R$4</f>
        <v>-5.6589659819769933E-2</v>
      </c>
      <c r="V7" s="6">
        <v>0</v>
      </c>
      <c r="Y7">
        <f t="shared" si="5"/>
        <v>2169558.2305269497</v>
      </c>
    </row>
    <row r="8" spans="1:59" x14ac:dyDescent="0.2">
      <c r="A8" s="2">
        <v>2023</v>
      </c>
      <c r="B8" s="1">
        <v>10.3</v>
      </c>
      <c r="C8" s="4">
        <v>209125640</v>
      </c>
      <c r="D8" s="4">
        <v>52258070</v>
      </c>
      <c r="E8" s="4">
        <v>15336227</v>
      </c>
      <c r="F8" s="4">
        <v>322982</v>
      </c>
      <c r="G8" s="1" t="s">
        <v>8</v>
      </c>
      <c r="H8" s="1" t="s">
        <v>8</v>
      </c>
      <c r="I8" s="11"/>
      <c r="J8" s="4">
        <v>283105387</v>
      </c>
      <c r="L8">
        <f t="shared" si="4"/>
        <v>2082239.0603167221</v>
      </c>
      <c r="M8">
        <f t="shared" si="2"/>
        <v>101948.26436519214</v>
      </c>
      <c r="N8">
        <f t="shared" si="0"/>
        <v>0</v>
      </c>
      <c r="O8">
        <f t="shared" si="1"/>
        <v>0</v>
      </c>
      <c r="P8" t="str">
        <f t="shared" si="3"/>
        <v xml:space="preserve"> -   </v>
      </c>
      <c r="Q8" t="str">
        <f t="shared" si="3"/>
        <v xml:space="preserve"> -   </v>
      </c>
      <c r="R8">
        <f t="shared" si="6"/>
        <v>2184187.3246819144</v>
      </c>
      <c r="S8" s="6">
        <f t="shared" si="7"/>
        <v>-6.371412847849367E-2</v>
      </c>
      <c r="V8" s="6">
        <v>0</v>
      </c>
      <c r="Y8">
        <f t="shared" si="5"/>
        <v>2184187.3246819144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</row>
    <row r="9" spans="1:59" x14ac:dyDescent="0.2">
      <c r="A9" s="2">
        <v>2024</v>
      </c>
      <c r="B9" s="1">
        <v>10.4</v>
      </c>
      <c r="C9" s="4">
        <v>210459229</v>
      </c>
      <c r="D9" s="4">
        <v>52845074</v>
      </c>
      <c r="E9" s="4">
        <v>16283920</v>
      </c>
      <c r="F9" s="4">
        <v>391932</v>
      </c>
      <c r="G9" s="4">
        <v>61875</v>
      </c>
      <c r="H9" s="4">
        <v>9591</v>
      </c>
      <c r="I9" s="11"/>
      <c r="J9" s="4">
        <v>286285448</v>
      </c>
      <c r="L9">
        <f t="shared" si="4"/>
        <v>2095517.4469660528</v>
      </c>
      <c r="M9">
        <f t="shared" si="2"/>
        <v>103093.42795380965</v>
      </c>
      <c r="N9">
        <f t="shared" si="0"/>
        <v>0</v>
      </c>
      <c r="O9">
        <f t="shared" si="1"/>
        <v>0</v>
      </c>
      <c r="P9">
        <f t="shared" ref="P9:P35" si="8">G9*1000*G$2*$L$75/1000000</f>
        <v>0</v>
      </c>
      <c r="Q9">
        <f t="shared" ref="Q9:Q35" si="9">H9*1000*H$2*$J$75/1000000</f>
        <v>0</v>
      </c>
      <c r="R9">
        <f t="shared" si="6"/>
        <v>2198610.8749198625</v>
      </c>
      <c r="S9" s="6">
        <f t="shared" si="7"/>
        <v>-7.0738495847331384E-2</v>
      </c>
      <c r="V9" s="6">
        <v>1E-3</v>
      </c>
      <c r="Y9">
        <f t="shared" si="5"/>
        <v>2200809.4857947822</v>
      </c>
    </row>
    <row r="10" spans="1:59" x14ac:dyDescent="0.2">
      <c r="A10" s="2">
        <v>2025</v>
      </c>
      <c r="B10" s="1">
        <v>10.6</v>
      </c>
      <c r="C10" s="4">
        <v>213046760</v>
      </c>
      <c r="D10" s="4">
        <v>53756306</v>
      </c>
      <c r="E10" s="4">
        <v>17392947</v>
      </c>
      <c r="F10" s="4">
        <v>478428</v>
      </c>
      <c r="G10" s="4">
        <v>78677</v>
      </c>
      <c r="H10" s="4">
        <v>11707</v>
      </c>
      <c r="I10" s="11"/>
      <c r="J10" s="4">
        <v>291222001</v>
      </c>
      <c r="L10">
        <f t="shared" si="4"/>
        <v>2121281.1845832113</v>
      </c>
      <c r="M10">
        <f t="shared" si="2"/>
        <v>104871.11551161694</v>
      </c>
      <c r="N10">
        <f t="shared" si="0"/>
        <v>0</v>
      </c>
      <c r="O10">
        <f t="shared" si="1"/>
        <v>0</v>
      </c>
      <c r="P10">
        <f t="shared" si="8"/>
        <v>0</v>
      </c>
      <c r="Q10">
        <f t="shared" si="9"/>
        <v>0</v>
      </c>
      <c r="R10">
        <f t="shared" si="6"/>
        <v>2226152.3000948285</v>
      </c>
      <c r="S10" s="6">
        <f t="shared" si="7"/>
        <v>-8.4151357805639426E-2</v>
      </c>
      <c r="V10" s="6">
        <v>-1.7000000000000001E-2</v>
      </c>
      <c r="Y10">
        <f t="shared" si="5"/>
        <v>2188307.7109932164</v>
      </c>
    </row>
    <row r="11" spans="1:59" x14ac:dyDescent="0.2">
      <c r="A11" s="2">
        <v>2026</v>
      </c>
      <c r="B11" s="1">
        <v>10.8</v>
      </c>
      <c r="C11" s="4">
        <v>215179126</v>
      </c>
      <c r="D11" s="4">
        <v>54576609</v>
      </c>
      <c r="E11" s="4">
        <v>18541276</v>
      </c>
      <c r="F11" s="4">
        <v>582875</v>
      </c>
      <c r="G11" s="4">
        <v>99847</v>
      </c>
      <c r="H11" s="4">
        <v>14263</v>
      </c>
      <c r="I11" s="11"/>
      <c r="J11" s="4">
        <v>295665950</v>
      </c>
      <c r="L11">
        <f t="shared" si="4"/>
        <v>2142512.8985714694</v>
      </c>
      <c r="M11">
        <f t="shared" si="2"/>
        <v>106471.41317097482</v>
      </c>
      <c r="N11">
        <f t="shared" si="0"/>
        <v>0</v>
      </c>
      <c r="O11">
        <f t="shared" si="1"/>
        <v>0</v>
      </c>
      <c r="P11">
        <f t="shared" si="8"/>
        <v>0</v>
      </c>
      <c r="Q11">
        <f t="shared" si="9"/>
        <v>0</v>
      </c>
      <c r="R11">
        <f t="shared" si="6"/>
        <v>2248984.3117424441</v>
      </c>
      <c r="S11" s="6">
        <f t="shared" si="7"/>
        <v>-9.5270703246713717E-2</v>
      </c>
      <c r="V11" s="6">
        <v>-3.5999999999999997E-2</v>
      </c>
      <c r="Y11">
        <f t="shared" si="5"/>
        <v>2168020.8765197159</v>
      </c>
    </row>
    <row r="12" spans="1:59" x14ac:dyDescent="0.2">
      <c r="A12" s="2">
        <v>2027</v>
      </c>
      <c r="B12" s="1">
        <v>10.9</v>
      </c>
      <c r="C12" s="4">
        <v>217059173</v>
      </c>
      <c r="D12" s="4">
        <v>55358238</v>
      </c>
      <c r="E12" s="4">
        <v>19747159</v>
      </c>
      <c r="F12" s="4">
        <v>709467</v>
      </c>
      <c r="G12" s="4">
        <v>126596</v>
      </c>
      <c r="H12" s="4">
        <v>17361</v>
      </c>
      <c r="I12" s="11"/>
      <c r="J12" s="4">
        <v>299900385</v>
      </c>
      <c r="L12">
        <f t="shared" si="4"/>
        <v>2161232.3023644774</v>
      </c>
      <c r="M12">
        <f t="shared" si="2"/>
        <v>107996.26320710323</v>
      </c>
      <c r="N12">
        <f t="shared" si="0"/>
        <v>0</v>
      </c>
      <c r="O12">
        <f t="shared" si="1"/>
        <v>0</v>
      </c>
      <c r="P12">
        <f t="shared" si="8"/>
        <v>0</v>
      </c>
      <c r="Q12">
        <f t="shared" si="9"/>
        <v>0</v>
      </c>
      <c r="R12">
        <f t="shared" si="6"/>
        <v>2269228.5655715805</v>
      </c>
      <c r="S12" s="6">
        <f t="shared" si="7"/>
        <v>-0.10512979297551861</v>
      </c>
      <c r="V12" s="6">
        <v>-9.5000000000000001E-2</v>
      </c>
      <c r="Y12">
        <f t="shared" si="5"/>
        <v>2053651.8518422805</v>
      </c>
    </row>
    <row r="13" spans="1:59" x14ac:dyDescent="0.2">
      <c r="A13" s="2">
        <v>2028</v>
      </c>
      <c r="B13" s="1">
        <v>11.1</v>
      </c>
      <c r="C13" s="4">
        <v>218155498</v>
      </c>
      <c r="D13" s="4">
        <v>55966377</v>
      </c>
      <c r="E13" s="4">
        <v>20962296</v>
      </c>
      <c r="F13" s="4">
        <v>860713</v>
      </c>
      <c r="G13" s="4">
        <v>159983</v>
      </c>
      <c r="H13" s="4">
        <v>21062</v>
      </c>
      <c r="I13" s="11"/>
      <c r="J13" s="4">
        <v>303194945</v>
      </c>
      <c r="L13">
        <f t="shared" si="4"/>
        <v>2172148.2796583269</v>
      </c>
      <c r="M13">
        <f t="shared" si="2"/>
        <v>109182.65825657183</v>
      </c>
      <c r="N13">
        <f t="shared" si="0"/>
        <v>0</v>
      </c>
      <c r="O13">
        <f t="shared" si="1"/>
        <v>0</v>
      </c>
      <c r="P13">
        <f t="shared" si="8"/>
        <v>0</v>
      </c>
      <c r="Q13">
        <f t="shared" si="9"/>
        <v>0</v>
      </c>
      <c r="R13">
        <f t="shared" si="6"/>
        <v>2281330.9379148986</v>
      </c>
      <c r="S13" s="6">
        <f t="shared" si="7"/>
        <v>-0.11102373087371142</v>
      </c>
      <c r="V13" s="6">
        <v>-0.245</v>
      </c>
      <c r="Y13">
        <f t="shared" si="5"/>
        <v>1722404.8581257486</v>
      </c>
    </row>
    <row r="14" spans="1:59" x14ac:dyDescent="0.2">
      <c r="A14" s="2">
        <v>2029</v>
      </c>
      <c r="B14" s="1">
        <v>11.2</v>
      </c>
      <c r="C14" s="4">
        <v>219533167</v>
      </c>
      <c r="D14" s="4">
        <v>56675146</v>
      </c>
      <c r="E14" s="4">
        <v>22289155</v>
      </c>
      <c r="F14" s="4">
        <v>1045936</v>
      </c>
      <c r="G14" s="4">
        <v>202512</v>
      </c>
      <c r="H14" s="4">
        <v>25594</v>
      </c>
      <c r="I14" s="11"/>
      <c r="J14" s="4">
        <v>307034667</v>
      </c>
      <c r="L14">
        <f t="shared" si="4"/>
        <v>2185865.5656113424</v>
      </c>
      <c r="M14">
        <f t="shared" si="2"/>
        <v>110565.36851330067</v>
      </c>
      <c r="N14">
        <f t="shared" si="0"/>
        <v>0</v>
      </c>
      <c r="O14">
        <f t="shared" si="1"/>
        <v>0</v>
      </c>
      <c r="P14">
        <f t="shared" si="8"/>
        <v>0</v>
      </c>
      <c r="Q14">
        <f t="shared" si="9"/>
        <v>0</v>
      </c>
      <c r="R14">
        <f t="shared" si="6"/>
        <v>2296430.934124643</v>
      </c>
      <c r="S14" s="6">
        <f t="shared" si="7"/>
        <v>-0.11837753204578605</v>
      </c>
      <c r="V14" s="6">
        <v>-0.34399999999999997</v>
      </c>
      <c r="Y14">
        <f t="shared" si="5"/>
        <v>1506458.692785766</v>
      </c>
    </row>
    <row r="15" spans="1:59" x14ac:dyDescent="0.2">
      <c r="A15" s="2">
        <v>2030</v>
      </c>
      <c r="B15" s="1">
        <v>11.3</v>
      </c>
      <c r="C15" s="4">
        <v>220657217</v>
      </c>
      <c r="D15" s="4">
        <v>57350123</v>
      </c>
      <c r="E15" s="4">
        <v>23682340</v>
      </c>
      <c r="F15" s="4">
        <v>1270071</v>
      </c>
      <c r="G15" s="4">
        <v>256155</v>
      </c>
      <c r="H15" s="4">
        <v>31079</v>
      </c>
      <c r="I15" s="11"/>
      <c r="J15" s="4">
        <v>310691318</v>
      </c>
      <c r="L15">
        <f t="shared" si="4"/>
        <v>2197057.5974241276</v>
      </c>
      <c r="M15">
        <f t="shared" si="2"/>
        <v>111882.1552533472</v>
      </c>
      <c r="N15">
        <f t="shared" si="0"/>
        <v>0</v>
      </c>
      <c r="O15">
        <f t="shared" si="1"/>
        <v>0</v>
      </c>
      <c r="P15">
        <f t="shared" si="8"/>
        <v>0</v>
      </c>
      <c r="Q15">
        <f t="shared" si="9"/>
        <v>0</v>
      </c>
      <c r="R15">
        <f t="shared" si="6"/>
        <v>2308939.7526774746</v>
      </c>
      <c r="S15" s="6">
        <f t="shared" si="7"/>
        <v>-0.12446941202094286</v>
      </c>
      <c r="V15" s="6">
        <v>-0.39400000000000002</v>
      </c>
      <c r="Y15">
        <f t="shared" si="5"/>
        <v>1399217.4901225497</v>
      </c>
    </row>
    <row r="16" spans="1:59" x14ac:dyDescent="0.2">
      <c r="A16" s="2">
        <v>2031</v>
      </c>
      <c r="B16" s="1">
        <v>11.4</v>
      </c>
      <c r="C16" s="4">
        <v>221157572</v>
      </c>
      <c r="D16" s="4">
        <v>57896780</v>
      </c>
      <c r="E16" s="4">
        <v>25103482</v>
      </c>
      <c r="F16" s="4">
        <v>1538612</v>
      </c>
      <c r="G16" s="4">
        <v>323245</v>
      </c>
      <c r="H16" s="4">
        <v>37650</v>
      </c>
      <c r="I16" s="11"/>
      <c r="J16" s="4">
        <v>313652805</v>
      </c>
      <c r="L16">
        <f t="shared" si="4"/>
        <v>2202039.5724943522</v>
      </c>
      <c r="M16">
        <f t="shared" si="2"/>
        <v>112948.60742720442</v>
      </c>
      <c r="N16">
        <f t="shared" si="0"/>
        <v>0</v>
      </c>
      <c r="O16">
        <f t="shared" si="1"/>
        <v>0</v>
      </c>
      <c r="P16">
        <f t="shared" si="8"/>
        <v>0</v>
      </c>
      <c r="Q16">
        <f t="shared" si="9"/>
        <v>0</v>
      </c>
      <c r="R16">
        <f t="shared" si="6"/>
        <v>2314988.1799215567</v>
      </c>
      <c r="S16" s="6">
        <f t="shared" si="7"/>
        <v>-0.1274150373534868</v>
      </c>
      <c r="V16" s="6">
        <v>-0.44400000000000001</v>
      </c>
      <c r="Y16">
        <f>R16*(1+V16)</f>
        <v>1287133.4280363857</v>
      </c>
    </row>
    <row r="17" spans="1:25" x14ac:dyDescent="0.2">
      <c r="A17" s="2">
        <v>2032</v>
      </c>
      <c r="B17" s="1">
        <v>11.5</v>
      </c>
      <c r="C17" s="4">
        <v>221301677</v>
      </c>
      <c r="D17" s="4">
        <v>58386191</v>
      </c>
      <c r="E17" s="4">
        <v>26581470</v>
      </c>
      <c r="F17" s="4">
        <v>1861942</v>
      </c>
      <c r="G17" s="4">
        <v>407472</v>
      </c>
      <c r="H17" s="4">
        <v>45562</v>
      </c>
      <c r="I17" s="11"/>
      <c r="J17" s="4">
        <v>316304164</v>
      </c>
      <c r="L17">
        <f t="shared" si="4"/>
        <v>2203474.4087955677</v>
      </c>
      <c r="M17">
        <f t="shared" si="2"/>
        <v>113903.38057537527</v>
      </c>
      <c r="N17">
        <f t="shared" si="0"/>
        <v>0</v>
      </c>
      <c r="O17">
        <f t="shared" si="1"/>
        <v>0</v>
      </c>
      <c r="P17">
        <f t="shared" si="8"/>
        <v>0</v>
      </c>
      <c r="Q17">
        <f t="shared" si="9"/>
        <v>0</v>
      </c>
      <c r="R17">
        <f t="shared" si="6"/>
        <v>2317377.7893709429</v>
      </c>
      <c r="S17" s="6">
        <f t="shared" si="7"/>
        <v>-0.12857879345816436</v>
      </c>
      <c r="V17" s="6">
        <v>-0.49299999999999999</v>
      </c>
      <c r="Y17">
        <f t="shared" ref="Y17:Y35" si="10">R17*(1+V17)</f>
        <v>1174910.5392110681</v>
      </c>
    </row>
    <row r="18" spans="1:25" x14ac:dyDescent="0.2">
      <c r="A18" s="2">
        <v>2033</v>
      </c>
      <c r="B18" s="1">
        <v>11.6</v>
      </c>
      <c r="C18" s="4">
        <v>221460011</v>
      </c>
      <c r="D18" s="4">
        <v>58919344</v>
      </c>
      <c r="E18" s="4">
        <v>28165409</v>
      </c>
      <c r="F18" s="4">
        <v>2254733</v>
      </c>
      <c r="G18" s="4">
        <v>513991</v>
      </c>
      <c r="H18" s="4">
        <v>55173</v>
      </c>
      <c r="I18" s="11"/>
      <c r="J18" s="4">
        <v>319192495</v>
      </c>
      <c r="L18">
        <f t="shared" si="4"/>
        <v>2205050.9215530478</v>
      </c>
      <c r="M18">
        <f t="shared" si="2"/>
        <v>114943.48831358863</v>
      </c>
      <c r="N18">
        <f t="shared" si="0"/>
        <v>0</v>
      </c>
      <c r="O18">
        <f t="shared" si="1"/>
        <v>0</v>
      </c>
      <c r="P18">
        <f t="shared" si="8"/>
        <v>0</v>
      </c>
      <c r="Q18">
        <f t="shared" si="9"/>
        <v>0</v>
      </c>
      <c r="R18">
        <f t="shared" si="6"/>
        <v>2319994.4098666366</v>
      </c>
      <c r="S18" s="6">
        <f t="shared" si="7"/>
        <v>-0.12985310549114937</v>
      </c>
      <c r="V18" s="6">
        <v>-0.54300000000000004</v>
      </c>
      <c r="Y18">
        <f t="shared" si="10"/>
        <v>1060237.4453090529</v>
      </c>
    </row>
    <row r="19" spans="1:25" x14ac:dyDescent="0.2">
      <c r="A19" s="2">
        <v>2034</v>
      </c>
      <c r="B19" s="1">
        <v>11.8</v>
      </c>
      <c r="C19" s="4">
        <v>221772830</v>
      </c>
      <c r="D19" s="4">
        <v>59539501</v>
      </c>
      <c r="E19" s="4">
        <v>29884958</v>
      </c>
      <c r="F19" s="4">
        <v>2734159</v>
      </c>
      <c r="G19" s="4">
        <v>649252</v>
      </c>
      <c r="H19" s="4">
        <v>66905</v>
      </c>
      <c r="I19" s="11"/>
      <c r="J19" s="4">
        <v>322552160</v>
      </c>
      <c r="L19">
        <f t="shared" si="4"/>
        <v>2208165.6230339813</v>
      </c>
      <c r="M19">
        <f t="shared" si="2"/>
        <v>116153.32881829776</v>
      </c>
      <c r="N19">
        <f t="shared" si="0"/>
        <v>0</v>
      </c>
      <c r="O19">
        <f t="shared" si="1"/>
        <v>0</v>
      </c>
      <c r="P19">
        <f t="shared" si="8"/>
        <v>0</v>
      </c>
      <c r="Q19">
        <f t="shared" si="9"/>
        <v>0</v>
      </c>
      <c r="R19">
        <f t="shared" si="6"/>
        <v>2324318.9518522792</v>
      </c>
      <c r="S19" s="6">
        <f t="shared" si="7"/>
        <v>-0.13195918694183106</v>
      </c>
      <c r="V19" s="6">
        <v>-0.59299999999999997</v>
      </c>
      <c r="Y19">
        <f t="shared" si="10"/>
        <v>945997.81340387766</v>
      </c>
    </row>
    <row r="20" spans="1:25" x14ac:dyDescent="0.2">
      <c r="A20" s="2">
        <v>2035</v>
      </c>
      <c r="B20" s="1">
        <v>11.8</v>
      </c>
      <c r="C20" s="4">
        <v>221353926</v>
      </c>
      <c r="D20" s="4">
        <v>60014241</v>
      </c>
      <c r="E20" s="4">
        <v>31629409</v>
      </c>
      <c r="F20" s="4">
        <v>3307151</v>
      </c>
      <c r="G20" s="4">
        <v>818036</v>
      </c>
      <c r="H20" s="4">
        <v>80926</v>
      </c>
      <c r="I20" s="11"/>
      <c r="J20" s="4">
        <v>325124040</v>
      </c>
      <c r="L20">
        <f t="shared" ref="L20:L35" si="11">C20*1000*C$2*$E$75/1000000</f>
        <v>440798.92917162838</v>
      </c>
      <c r="M20">
        <f t="shared" si="2"/>
        <v>117079.48087528592</v>
      </c>
      <c r="N20">
        <f t="shared" si="0"/>
        <v>0</v>
      </c>
      <c r="O20">
        <f t="shared" si="1"/>
        <v>0</v>
      </c>
      <c r="P20">
        <f t="shared" si="8"/>
        <v>0</v>
      </c>
      <c r="Q20">
        <f t="shared" si="9"/>
        <v>0</v>
      </c>
      <c r="R20">
        <f t="shared" si="6"/>
        <v>557878.41004691436</v>
      </c>
      <c r="S20" s="6">
        <f t="shared" si="7"/>
        <v>0.72830940824801182</v>
      </c>
      <c r="V20" s="6">
        <v>-0.64300000000000002</v>
      </c>
      <c r="Y20">
        <f t="shared" si="10"/>
        <v>199162.59238674841</v>
      </c>
    </row>
    <row r="21" spans="1:25" x14ac:dyDescent="0.2">
      <c r="A21" s="2">
        <v>2036</v>
      </c>
      <c r="B21" s="1">
        <v>12</v>
      </c>
      <c r="C21" s="4">
        <v>221082116</v>
      </c>
      <c r="D21" s="4">
        <v>60586135</v>
      </c>
      <c r="E21" s="4">
        <v>33527356</v>
      </c>
      <c r="F21" s="4">
        <v>4006400</v>
      </c>
      <c r="G21" s="4">
        <v>1032289</v>
      </c>
      <c r="H21" s="4">
        <v>98036</v>
      </c>
      <c r="I21" s="11"/>
      <c r="J21" s="4">
        <v>328222249</v>
      </c>
      <c r="L21">
        <f t="shared" si="11"/>
        <v>440257.6532200189</v>
      </c>
      <c r="M21">
        <f t="shared" si="2"/>
        <v>118195.16694445891</v>
      </c>
      <c r="N21">
        <f t="shared" si="0"/>
        <v>0</v>
      </c>
      <c r="O21">
        <f t="shared" si="1"/>
        <v>0</v>
      </c>
      <c r="P21">
        <f t="shared" si="8"/>
        <v>0</v>
      </c>
      <c r="Q21">
        <f t="shared" si="9"/>
        <v>0</v>
      </c>
      <c r="R21">
        <f t="shared" si="6"/>
        <v>558452.8201644778</v>
      </c>
      <c r="S21" s="6">
        <f t="shared" si="7"/>
        <v>0.72802966660191371</v>
      </c>
      <c r="V21" s="6">
        <v>-0.69399999999999995</v>
      </c>
      <c r="Y21">
        <f t="shared" si="10"/>
        <v>170886.56297033024</v>
      </c>
    </row>
    <row r="22" spans="1:25" x14ac:dyDescent="0.2">
      <c r="A22" s="2">
        <v>2037</v>
      </c>
      <c r="B22" s="1">
        <v>12.1</v>
      </c>
      <c r="C22" s="4">
        <v>220496454</v>
      </c>
      <c r="D22" s="4">
        <v>61138068</v>
      </c>
      <c r="E22" s="4">
        <v>35524425</v>
      </c>
      <c r="F22" s="4">
        <v>4851477</v>
      </c>
      <c r="G22" s="4">
        <v>1302116</v>
      </c>
      <c r="H22" s="4">
        <v>118716</v>
      </c>
      <c r="I22" s="11"/>
      <c r="J22" s="4">
        <v>331212313</v>
      </c>
      <c r="L22">
        <f t="shared" si="11"/>
        <v>439091.3798806587</v>
      </c>
      <c r="M22">
        <f t="shared" si="2"/>
        <v>119271.91186435116</v>
      </c>
      <c r="N22">
        <f t="shared" si="0"/>
        <v>0</v>
      </c>
      <c r="O22">
        <f t="shared" si="1"/>
        <v>0</v>
      </c>
      <c r="P22">
        <f t="shared" si="8"/>
        <v>0</v>
      </c>
      <c r="Q22">
        <f t="shared" si="9"/>
        <v>0</v>
      </c>
      <c r="R22">
        <f t="shared" si="6"/>
        <v>558363.29174500983</v>
      </c>
      <c r="S22" s="6">
        <f t="shared" si="7"/>
        <v>0.72807326755299162</v>
      </c>
      <c r="V22" s="6">
        <v>-0.74399999999999999</v>
      </c>
      <c r="Y22">
        <f t="shared" si="10"/>
        <v>142941.00268672252</v>
      </c>
    </row>
    <row r="23" spans="1:25" x14ac:dyDescent="0.2">
      <c r="A23" s="2">
        <v>2038</v>
      </c>
      <c r="B23" s="1">
        <v>12.2</v>
      </c>
      <c r="C23" s="4">
        <v>219903498</v>
      </c>
      <c r="D23" s="4">
        <v>61764329</v>
      </c>
      <c r="E23" s="4">
        <v>37682732</v>
      </c>
      <c r="F23" s="4">
        <v>5881407</v>
      </c>
      <c r="G23" s="4">
        <v>1644318</v>
      </c>
      <c r="H23" s="4">
        <v>143918</v>
      </c>
      <c r="I23" s="11"/>
      <c r="J23" s="4">
        <v>334605051</v>
      </c>
      <c r="L23">
        <f t="shared" si="11"/>
        <v>437910.58144365292</v>
      </c>
      <c r="M23">
        <f t="shared" si="2"/>
        <v>120493.66042853675</v>
      </c>
      <c r="N23">
        <f t="shared" si="0"/>
        <v>0</v>
      </c>
      <c r="O23">
        <f t="shared" si="1"/>
        <v>0</v>
      </c>
      <c r="P23">
        <f t="shared" si="8"/>
        <v>0</v>
      </c>
      <c r="Q23">
        <f t="shared" si="9"/>
        <v>0</v>
      </c>
      <c r="R23">
        <f t="shared" si="6"/>
        <v>558404.24187218968</v>
      </c>
      <c r="S23" s="6">
        <f t="shared" si="7"/>
        <v>0.7280533245616776</v>
      </c>
      <c r="V23" s="6">
        <v>-0.79500000000000004</v>
      </c>
      <c r="Y23">
        <f t="shared" si="10"/>
        <v>114472.86958379886</v>
      </c>
    </row>
    <row r="24" spans="1:25" x14ac:dyDescent="0.2">
      <c r="A24" s="2">
        <v>2039</v>
      </c>
      <c r="B24" s="1">
        <v>12.3</v>
      </c>
      <c r="C24" s="4">
        <v>218665493</v>
      </c>
      <c r="D24" s="4">
        <v>62297120</v>
      </c>
      <c r="E24" s="4">
        <v>39908180</v>
      </c>
      <c r="F24" s="4">
        <v>7118569</v>
      </c>
      <c r="G24" s="4">
        <v>2073128</v>
      </c>
      <c r="H24" s="4">
        <v>174191</v>
      </c>
      <c r="I24" s="11"/>
      <c r="J24" s="4">
        <v>337491422</v>
      </c>
      <c r="L24">
        <f t="shared" si="11"/>
        <v>435445.24781180621</v>
      </c>
      <c r="M24">
        <f t="shared" si="2"/>
        <v>121533.06195483489</v>
      </c>
      <c r="N24">
        <f t="shared" si="0"/>
        <v>0</v>
      </c>
      <c r="O24">
        <f t="shared" si="1"/>
        <v>0</v>
      </c>
      <c r="P24">
        <f t="shared" si="8"/>
        <v>0</v>
      </c>
      <c r="Q24">
        <f t="shared" si="9"/>
        <v>0</v>
      </c>
      <c r="R24">
        <f t="shared" si="6"/>
        <v>556978.30976664112</v>
      </c>
      <c r="S24" s="6">
        <f t="shared" si="7"/>
        <v>0.72874776322533208</v>
      </c>
      <c r="V24" s="6">
        <v>-0.84599999999999997</v>
      </c>
      <c r="Y24">
        <f t="shared" si="10"/>
        <v>85774.659704062753</v>
      </c>
    </row>
    <row r="25" spans="1:25" x14ac:dyDescent="0.2">
      <c r="A25" s="2">
        <v>2040</v>
      </c>
      <c r="B25" s="1">
        <v>12.4</v>
      </c>
      <c r="C25" s="4">
        <v>217306110</v>
      </c>
      <c r="D25" s="4">
        <v>62896769</v>
      </c>
      <c r="E25" s="4">
        <v>42306937</v>
      </c>
      <c r="F25" s="4">
        <v>8624508</v>
      </c>
      <c r="G25" s="4">
        <v>2616353</v>
      </c>
      <c r="H25" s="4">
        <v>211041</v>
      </c>
      <c r="I25" s="11"/>
      <c r="J25" s="4">
        <v>340739988</v>
      </c>
      <c r="L25">
        <f t="shared" si="11"/>
        <v>432738.20492550061</v>
      </c>
      <c r="M25">
        <f t="shared" si="2"/>
        <v>122702.89418894384</v>
      </c>
      <c r="N25">
        <f t="shared" si="0"/>
        <v>0</v>
      </c>
      <c r="O25">
        <f t="shared" si="1"/>
        <v>0</v>
      </c>
      <c r="P25">
        <f t="shared" si="8"/>
        <v>0</v>
      </c>
      <c r="Q25">
        <f t="shared" si="9"/>
        <v>0</v>
      </c>
      <c r="R25">
        <f t="shared" si="6"/>
        <v>555441.09911444446</v>
      </c>
      <c r="S25" s="6">
        <f t="shared" si="7"/>
        <v>0.72949639530038879</v>
      </c>
      <c r="V25" s="6">
        <v>-0.89700000000000002</v>
      </c>
      <c r="Y25">
        <f t="shared" si="10"/>
        <v>57210.43320878777</v>
      </c>
    </row>
    <row r="26" spans="1:25" x14ac:dyDescent="0.2">
      <c r="A26" s="2">
        <v>2041</v>
      </c>
      <c r="B26" s="1">
        <v>12.5</v>
      </c>
      <c r="C26" s="4">
        <v>215167593</v>
      </c>
      <c r="D26" s="4">
        <v>63388687</v>
      </c>
      <c r="E26" s="4">
        <v>44769712</v>
      </c>
      <c r="F26" s="4">
        <v>10430353</v>
      </c>
      <c r="G26" s="4">
        <v>3296020</v>
      </c>
      <c r="H26" s="4">
        <v>255230</v>
      </c>
      <c r="I26" s="11"/>
      <c r="J26" s="4">
        <v>343404925</v>
      </c>
      <c r="L26">
        <f t="shared" si="11"/>
        <v>428479.61317314411</v>
      </c>
      <c r="M26">
        <f t="shared" si="2"/>
        <v>123662.55814725683</v>
      </c>
      <c r="N26">
        <f t="shared" si="0"/>
        <v>0</v>
      </c>
      <c r="O26">
        <f t="shared" si="1"/>
        <v>0</v>
      </c>
      <c r="P26">
        <f t="shared" si="8"/>
        <v>0</v>
      </c>
      <c r="Q26">
        <f t="shared" si="9"/>
        <v>0</v>
      </c>
      <c r="R26">
        <f t="shared" si="6"/>
        <v>552142.1713204009</v>
      </c>
      <c r="S26" s="6">
        <f t="shared" si="7"/>
        <v>0.7311029956426307</v>
      </c>
      <c r="V26" s="6">
        <v>-0.94799999999999995</v>
      </c>
      <c r="Y26">
        <f t="shared" si="10"/>
        <v>28711.392908660873</v>
      </c>
    </row>
    <row r="27" spans="1:25" x14ac:dyDescent="0.2">
      <c r="A27" s="2">
        <v>2042</v>
      </c>
      <c r="B27" s="1">
        <v>12.6</v>
      </c>
      <c r="C27" s="4">
        <v>212824675</v>
      </c>
      <c r="D27" s="4">
        <v>63958534</v>
      </c>
      <c r="E27" s="4">
        <v>47430789</v>
      </c>
      <c r="F27" s="4">
        <v>12628942</v>
      </c>
      <c r="G27" s="4">
        <v>4157063</v>
      </c>
      <c r="H27" s="4">
        <v>309030</v>
      </c>
      <c r="I27" s="11"/>
      <c r="J27" s="4">
        <v>346492042</v>
      </c>
      <c r="L27">
        <f t="shared" si="11"/>
        <v>423813.98214414244</v>
      </c>
      <c r="M27">
        <f t="shared" si="2"/>
        <v>124774.25080264406</v>
      </c>
      <c r="N27">
        <f t="shared" si="0"/>
        <v>0</v>
      </c>
      <c r="O27">
        <f t="shared" si="1"/>
        <v>0</v>
      </c>
      <c r="P27">
        <f t="shared" si="8"/>
        <v>0</v>
      </c>
      <c r="Q27">
        <f t="shared" si="9"/>
        <v>0</v>
      </c>
      <c r="R27">
        <f t="shared" si="6"/>
        <v>548588.23294678656</v>
      </c>
      <c r="S27" s="6">
        <f t="shared" si="7"/>
        <v>0.73283378787690312</v>
      </c>
      <c r="V27" s="6">
        <v>-0.94799999999999995</v>
      </c>
      <c r="Y27">
        <f t="shared" si="10"/>
        <v>28526.588113232927</v>
      </c>
    </row>
    <row r="28" spans="1:25" x14ac:dyDescent="0.2">
      <c r="A28" s="2">
        <v>2043</v>
      </c>
      <c r="B28" s="1">
        <v>12.7</v>
      </c>
      <c r="C28" s="4">
        <v>209307092</v>
      </c>
      <c r="D28" s="4">
        <v>64336543</v>
      </c>
      <c r="E28" s="4">
        <v>50096671</v>
      </c>
      <c r="F28" s="4">
        <v>15244299</v>
      </c>
      <c r="G28" s="4">
        <v>5227040</v>
      </c>
      <c r="H28" s="4">
        <v>373028</v>
      </c>
      <c r="I28" s="11"/>
      <c r="J28" s="4">
        <v>348539888</v>
      </c>
      <c r="L28">
        <f t="shared" si="11"/>
        <v>416809.15124869981</v>
      </c>
      <c r="M28">
        <f t="shared" si="2"/>
        <v>125511.6940619229</v>
      </c>
      <c r="N28">
        <f t="shared" si="0"/>
        <v>0</v>
      </c>
      <c r="O28">
        <f t="shared" si="1"/>
        <v>0</v>
      </c>
      <c r="P28">
        <f t="shared" si="8"/>
        <v>0</v>
      </c>
      <c r="Q28">
        <f t="shared" si="9"/>
        <v>0</v>
      </c>
      <c r="R28">
        <f t="shared" si="6"/>
        <v>542320.84531062271</v>
      </c>
      <c r="S28" s="6">
        <f t="shared" si="7"/>
        <v>0.735886048414222</v>
      </c>
      <c r="V28" s="6">
        <v>-0.94799999999999995</v>
      </c>
      <c r="Y28">
        <f t="shared" si="10"/>
        <v>28200.683956152407</v>
      </c>
    </row>
    <row r="29" spans="1:25" x14ac:dyDescent="0.2">
      <c r="A29" s="2">
        <v>2044</v>
      </c>
      <c r="B29" s="1">
        <v>12.8</v>
      </c>
      <c r="C29" s="4">
        <v>205632808</v>
      </c>
      <c r="D29" s="4">
        <v>64857957</v>
      </c>
      <c r="E29" s="4">
        <v>53027812</v>
      </c>
      <c r="F29" s="4">
        <v>18441415</v>
      </c>
      <c r="G29" s="4">
        <v>6586753</v>
      </c>
      <c r="H29" s="4">
        <v>451261</v>
      </c>
      <c r="I29" s="11"/>
      <c r="J29" s="4">
        <v>351364619</v>
      </c>
      <c r="L29">
        <f t="shared" si="11"/>
        <v>409492.26971901581</v>
      </c>
      <c r="M29">
        <f t="shared" si="2"/>
        <v>126528.90063529449</v>
      </c>
      <c r="N29">
        <f t="shared" si="0"/>
        <v>0</v>
      </c>
      <c r="O29">
        <f t="shared" si="1"/>
        <v>0</v>
      </c>
      <c r="P29">
        <f t="shared" si="8"/>
        <v>0</v>
      </c>
      <c r="Q29">
        <f t="shared" si="9"/>
        <v>0</v>
      </c>
      <c r="R29">
        <f t="shared" si="6"/>
        <v>536021.17035431031</v>
      </c>
      <c r="S29" s="6">
        <f t="shared" si="7"/>
        <v>0.7389540330967298</v>
      </c>
      <c r="V29" s="6">
        <v>-1</v>
      </c>
      <c r="Y29">
        <f t="shared" si="10"/>
        <v>0</v>
      </c>
    </row>
    <row r="30" spans="1:25" x14ac:dyDescent="0.2">
      <c r="A30" s="2">
        <v>2045</v>
      </c>
      <c r="B30" s="1">
        <v>12.9</v>
      </c>
      <c r="C30" s="4">
        <v>201484133</v>
      </c>
      <c r="D30" s="4">
        <v>65466950</v>
      </c>
      <c r="E30" s="4">
        <v>56202011</v>
      </c>
      <c r="F30" s="4">
        <v>22337488</v>
      </c>
      <c r="G30" s="4">
        <v>8310751</v>
      </c>
      <c r="H30" s="4">
        <v>546598</v>
      </c>
      <c r="I30" s="11"/>
      <c r="J30" s="4">
        <v>354663809</v>
      </c>
      <c r="L30">
        <f t="shared" si="11"/>
        <v>401230.69726567197</v>
      </c>
      <c r="M30">
        <f t="shared" si="2"/>
        <v>127716.96172060727</v>
      </c>
      <c r="N30">
        <f t="shared" si="0"/>
        <v>0</v>
      </c>
      <c r="O30">
        <f t="shared" si="1"/>
        <v>0</v>
      </c>
      <c r="P30">
        <f t="shared" si="8"/>
        <v>0</v>
      </c>
      <c r="Q30">
        <f t="shared" si="9"/>
        <v>0</v>
      </c>
      <c r="R30">
        <f t="shared" si="6"/>
        <v>528947.65898627928</v>
      </c>
      <c r="S30" s="6">
        <f t="shared" si="7"/>
        <v>0.7423988813911514</v>
      </c>
      <c r="V30" s="6">
        <v>-1</v>
      </c>
      <c r="Y30">
        <f t="shared" si="10"/>
        <v>0</v>
      </c>
    </row>
    <row r="31" spans="1:25" x14ac:dyDescent="0.2">
      <c r="A31" s="2">
        <v>2046</v>
      </c>
      <c r="B31" s="1">
        <v>13</v>
      </c>
      <c r="C31" s="4">
        <v>196361489</v>
      </c>
      <c r="D31" s="4">
        <v>66049493</v>
      </c>
      <c r="E31" s="4">
        <v>59537217</v>
      </c>
      <c r="F31" s="4">
        <v>27043504</v>
      </c>
      <c r="G31" s="4">
        <v>10480878</v>
      </c>
      <c r="H31" s="4">
        <v>661754</v>
      </c>
      <c r="I31" s="11"/>
      <c r="J31" s="4">
        <v>357819704</v>
      </c>
      <c r="L31">
        <f t="shared" si="11"/>
        <v>391029.58617389284</v>
      </c>
      <c r="M31">
        <f t="shared" si="2"/>
        <v>128853.4225154298</v>
      </c>
      <c r="N31">
        <f t="shared" si="0"/>
        <v>0</v>
      </c>
      <c r="O31">
        <f t="shared" si="1"/>
        <v>0</v>
      </c>
      <c r="P31">
        <f t="shared" si="8"/>
        <v>0</v>
      </c>
      <c r="Q31">
        <f t="shared" si="9"/>
        <v>0</v>
      </c>
      <c r="R31">
        <f t="shared" si="6"/>
        <v>519883.00868932263</v>
      </c>
      <c r="S31" s="6">
        <f t="shared" si="7"/>
        <v>0.74681342792826855</v>
      </c>
      <c r="V31" s="6">
        <v>-1</v>
      </c>
      <c r="Y31">
        <f t="shared" si="10"/>
        <v>0</v>
      </c>
    </row>
    <row r="32" spans="1:25" x14ac:dyDescent="0.2">
      <c r="A32" s="2">
        <v>2047</v>
      </c>
      <c r="B32" s="1">
        <v>13.1</v>
      </c>
      <c r="C32" s="4">
        <v>189882965</v>
      </c>
      <c r="D32" s="4">
        <v>66526253</v>
      </c>
      <c r="E32" s="4">
        <v>62965319</v>
      </c>
      <c r="F32" s="4">
        <v>32686452</v>
      </c>
      <c r="G32" s="4">
        <v>13195664</v>
      </c>
      <c r="H32" s="4">
        <v>799837</v>
      </c>
      <c r="I32" s="11"/>
      <c r="J32" s="4">
        <v>360402528</v>
      </c>
      <c r="L32">
        <f t="shared" si="11"/>
        <v>378128.40798646508</v>
      </c>
      <c r="M32">
        <f t="shared" si="2"/>
        <v>129783.51531293934</v>
      </c>
      <c r="N32">
        <f t="shared" si="0"/>
        <v>0</v>
      </c>
      <c r="O32">
        <f t="shared" si="1"/>
        <v>0</v>
      </c>
      <c r="P32">
        <f t="shared" si="8"/>
        <v>0</v>
      </c>
      <c r="Q32">
        <f t="shared" si="9"/>
        <v>0</v>
      </c>
      <c r="R32">
        <f t="shared" si="6"/>
        <v>507911.92329940444</v>
      </c>
      <c r="S32" s="6">
        <f t="shared" si="7"/>
        <v>0.75264342818446583</v>
      </c>
      <c r="V32" s="6">
        <v>-1</v>
      </c>
      <c r="Y32">
        <f t="shared" si="10"/>
        <v>0</v>
      </c>
    </row>
    <row r="33" spans="1:25" x14ac:dyDescent="0.2">
      <c r="A33" s="2">
        <v>2048</v>
      </c>
      <c r="B33" s="1">
        <v>13.2</v>
      </c>
      <c r="C33" s="4">
        <v>182355034</v>
      </c>
      <c r="D33" s="4">
        <v>67067335</v>
      </c>
      <c r="E33" s="4">
        <v>66651310</v>
      </c>
      <c r="F33" s="4">
        <v>39542763</v>
      </c>
      <c r="G33" s="4">
        <v>16628736</v>
      </c>
      <c r="H33" s="4">
        <v>967610</v>
      </c>
      <c r="I33" s="11"/>
      <c r="J33" s="4">
        <v>363333810</v>
      </c>
      <c r="L33">
        <f t="shared" si="11"/>
        <v>363137.4657265211</v>
      </c>
      <c r="M33">
        <f t="shared" si="2"/>
        <v>130839.09143312991</v>
      </c>
      <c r="N33">
        <f t="shared" si="0"/>
        <v>0</v>
      </c>
      <c r="O33">
        <f t="shared" si="1"/>
        <v>0</v>
      </c>
      <c r="P33">
        <f t="shared" si="8"/>
        <v>0</v>
      </c>
      <c r="Q33">
        <f t="shared" si="9"/>
        <v>0</v>
      </c>
      <c r="R33">
        <f t="shared" si="6"/>
        <v>493976.55715965101</v>
      </c>
      <c r="S33" s="6">
        <f t="shared" si="7"/>
        <v>0.75943004656690483</v>
      </c>
      <c r="V33" s="6">
        <v>-1</v>
      </c>
      <c r="Y33">
        <f t="shared" si="10"/>
        <v>0</v>
      </c>
    </row>
    <row r="34" spans="1:25" x14ac:dyDescent="0.2">
      <c r="A34" s="2">
        <v>2049</v>
      </c>
      <c r="B34" s="1">
        <v>13.4</v>
      </c>
      <c r="C34" s="4">
        <v>173471489</v>
      </c>
      <c r="D34" s="4">
        <v>67656931</v>
      </c>
      <c r="E34" s="4">
        <v>70599112</v>
      </c>
      <c r="F34" s="4">
        <v>47868465</v>
      </c>
      <c r="G34" s="4">
        <v>20968651</v>
      </c>
      <c r="H34" s="4">
        <v>1171340</v>
      </c>
      <c r="I34" s="11"/>
      <c r="J34" s="4">
        <v>366527919</v>
      </c>
      <c r="L34">
        <f t="shared" si="11"/>
        <v>345446.98607698479</v>
      </c>
      <c r="M34">
        <f t="shared" si="2"/>
        <v>131989.31165512931</v>
      </c>
      <c r="N34">
        <f t="shared" si="0"/>
        <v>0</v>
      </c>
      <c r="O34">
        <f t="shared" si="1"/>
        <v>0</v>
      </c>
      <c r="P34">
        <f t="shared" si="8"/>
        <v>0</v>
      </c>
      <c r="Q34">
        <f t="shared" si="9"/>
        <v>0</v>
      </c>
      <c r="R34">
        <f t="shared" si="6"/>
        <v>477436.29773211409</v>
      </c>
      <c r="S34" s="6">
        <f t="shared" si="7"/>
        <v>0.76748526575206921</v>
      </c>
      <c r="V34" s="6">
        <v>-1</v>
      </c>
      <c r="Y34">
        <f t="shared" si="10"/>
        <v>0</v>
      </c>
    </row>
    <row r="35" spans="1:25" x14ac:dyDescent="0.2">
      <c r="A35" s="2">
        <v>2050</v>
      </c>
      <c r="B35" s="1">
        <v>13.5</v>
      </c>
      <c r="C35" s="4">
        <v>162713466</v>
      </c>
      <c r="D35" s="4">
        <v>68210642</v>
      </c>
      <c r="E35" s="4">
        <v>74735746</v>
      </c>
      <c r="F35" s="4">
        <v>57912270</v>
      </c>
      <c r="G35" s="4">
        <v>26425326</v>
      </c>
      <c r="H35" s="4">
        <v>1417112</v>
      </c>
      <c r="I35" s="11"/>
      <c r="J35" s="4">
        <v>369527617</v>
      </c>
      <c r="L35">
        <f t="shared" si="11"/>
        <v>324023.71564263175</v>
      </c>
      <c r="M35">
        <f t="shared" si="2"/>
        <v>133069.525207025</v>
      </c>
      <c r="N35">
        <f t="shared" si="0"/>
        <v>0</v>
      </c>
      <c r="O35">
        <f t="shared" si="1"/>
        <v>0</v>
      </c>
      <c r="P35">
        <f t="shared" si="8"/>
        <v>0</v>
      </c>
      <c r="Q35">
        <f t="shared" si="9"/>
        <v>0</v>
      </c>
      <c r="R35">
        <f t="shared" si="6"/>
        <v>457093.24084965675</v>
      </c>
      <c r="S35" s="6">
        <f t="shared" si="7"/>
        <v>0.77739247324191341</v>
      </c>
      <c r="V35" s="6">
        <v>-1</v>
      </c>
      <c r="Y35">
        <f t="shared" si="10"/>
        <v>0</v>
      </c>
    </row>
    <row r="36" spans="1:25" x14ac:dyDescent="0.2">
      <c r="A36" s="1"/>
      <c r="B36" s="1"/>
      <c r="C36" s="1"/>
      <c r="D36" s="1"/>
      <c r="E36" s="1"/>
      <c r="F36" s="1"/>
      <c r="G36" s="1"/>
      <c r="H36" s="1"/>
      <c r="J36" s="1"/>
      <c r="Y36" s="6"/>
    </row>
    <row r="37" spans="1:25" ht="22" x14ac:dyDescent="0.3">
      <c r="A37" s="9" t="s">
        <v>42</v>
      </c>
      <c r="B37" s="1"/>
      <c r="C37" s="1"/>
      <c r="D37" s="1"/>
      <c r="E37" s="1"/>
      <c r="F37" s="1"/>
      <c r="G37" s="1"/>
      <c r="H37" s="1"/>
      <c r="J37" s="1"/>
      <c r="Y37" s="6"/>
    </row>
    <row r="38" spans="1:25" x14ac:dyDescent="0.2">
      <c r="A38" s="1"/>
      <c r="B38" s="1"/>
      <c r="C38" s="1">
        <v>40.200000000000003</v>
      </c>
      <c r="D38" s="1">
        <v>42.7</v>
      </c>
      <c r="E38" s="1">
        <v>48</v>
      </c>
      <c r="F38" s="1">
        <v>19.899999999999999</v>
      </c>
      <c r="G38" s="1">
        <v>18.600000000000001</v>
      </c>
      <c r="H38" s="1">
        <v>120</v>
      </c>
      <c r="J38" s="1"/>
      <c r="L38" s="13" t="s">
        <v>23</v>
      </c>
      <c r="M38" s="13"/>
      <c r="N38" s="13"/>
      <c r="O38" s="13"/>
      <c r="P38" s="13"/>
      <c r="Q38" s="13"/>
      <c r="R38" s="13"/>
      <c r="S38" s="13"/>
      <c r="Y38" s="6"/>
    </row>
    <row r="39" spans="1:25" x14ac:dyDescent="0.2">
      <c r="A39" s="2" t="s">
        <v>0</v>
      </c>
      <c r="B39" s="3" t="s">
        <v>1</v>
      </c>
      <c r="C39" s="1" t="s">
        <v>2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J39" s="1" t="s">
        <v>15</v>
      </c>
      <c r="L39" s="1" t="s">
        <v>9</v>
      </c>
      <c r="M39" s="1" t="s">
        <v>10</v>
      </c>
      <c r="N39" s="1" t="s">
        <v>11</v>
      </c>
      <c r="O39" s="1" t="s">
        <v>12</v>
      </c>
      <c r="P39" s="1" t="s">
        <v>13</v>
      </c>
      <c r="Q39" s="1" t="s">
        <v>14</v>
      </c>
      <c r="R39" s="1" t="s">
        <v>28</v>
      </c>
      <c r="S39" s="1" t="s">
        <v>30</v>
      </c>
      <c r="Y39" s="6"/>
    </row>
    <row r="40" spans="1:25" x14ac:dyDescent="0.2">
      <c r="A40" s="2">
        <v>2019</v>
      </c>
      <c r="B40" s="1">
        <v>9.9</v>
      </c>
      <c r="C40" s="4">
        <v>196317426</v>
      </c>
      <c r="D40" s="4">
        <v>50567463</v>
      </c>
      <c r="E40" s="4">
        <v>11574174</v>
      </c>
      <c r="F40" s="4">
        <v>153689</v>
      </c>
      <c r="G40" s="1" t="s">
        <v>8</v>
      </c>
      <c r="H40" s="1" t="s">
        <v>8</v>
      </c>
      <c r="J40" s="7">
        <v>263925621</v>
      </c>
      <c r="L40">
        <f>C40*1000*C$2*$D$75/1000000</f>
        <v>1954709.2008327511</v>
      </c>
      <c r="M40">
        <f t="shared" ref="M40:M71" si="12">D40*1000*D$2*$H$75/1000000</f>
        <v>98650.124013402572</v>
      </c>
      <c r="N40">
        <f t="shared" ref="N40:N71" si="13">E40*1000*E$2*$I$75/1000000</f>
        <v>0</v>
      </c>
      <c r="O40">
        <f t="shared" ref="O40:O71" si="14">F40*1000*F$2*$K$75/1000000</f>
        <v>0</v>
      </c>
      <c r="P40" t="str">
        <f>G40</f>
        <v xml:space="preserve"> -   </v>
      </c>
      <c r="Q40" t="str">
        <f>H40</f>
        <v xml:space="preserve"> -   </v>
      </c>
      <c r="R40">
        <f>SUM(L40:Q40)</f>
        <v>2053359.3248461536</v>
      </c>
      <c r="S40" t="s">
        <v>29</v>
      </c>
      <c r="Y40" s="6"/>
    </row>
    <row r="41" spans="1:25" x14ac:dyDescent="0.2">
      <c r="A41" s="2">
        <v>2020</v>
      </c>
      <c r="B41" s="1">
        <v>10.4</v>
      </c>
      <c r="C41" s="4">
        <v>198809774</v>
      </c>
      <c r="D41" s="4">
        <v>52244612</v>
      </c>
      <c r="E41" s="4">
        <v>12298869</v>
      </c>
      <c r="F41" s="4">
        <v>176122</v>
      </c>
      <c r="G41" s="1" t="s">
        <v>8</v>
      </c>
      <c r="H41" s="1" t="s">
        <v>8</v>
      </c>
      <c r="J41" s="7">
        <v>269075831</v>
      </c>
      <c r="L41">
        <f t="shared" ref="L41:L54" si="15">C41*1000*C$2*$D$75/1000000</f>
        <v>1979525.2126689961</v>
      </c>
      <c r="M41">
        <f>D41*1000*D$2*$H$75/1000000</f>
        <v>101922.0096691839</v>
      </c>
      <c r="N41">
        <f t="shared" si="13"/>
        <v>0</v>
      </c>
      <c r="O41">
        <f t="shared" si="14"/>
        <v>0</v>
      </c>
      <c r="P41" t="str">
        <f t="shared" ref="P41:Q44" si="16">G41</f>
        <v xml:space="preserve"> -   </v>
      </c>
      <c r="Q41" t="str">
        <f t="shared" si="16"/>
        <v xml:space="preserve"> -   </v>
      </c>
      <c r="R41">
        <f t="shared" ref="R41:R71" si="17">SUM(L41:Q41)</f>
        <v>2081447.2223381801</v>
      </c>
      <c r="S41" s="6">
        <f>1-R41/$R$40</f>
        <v>-1.3678997704958951E-2</v>
      </c>
    </row>
    <row r="42" spans="1:25" x14ac:dyDescent="0.2">
      <c r="A42" s="2">
        <v>2021</v>
      </c>
      <c r="B42" s="1">
        <v>10.6</v>
      </c>
      <c r="C42" s="4">
        <v>204568676</v>
      </c>
      <c r="D42" s="4">
        <v>52515022</v>
      </c>
      <c r="E42" s="4">
        <v>13830180</v>
      </c>
      <c r="F42" s="4">
        <v>163472</v>
      </c>
      <c r="G42" s="1" t="s">
        <v>8</v>
      </c>
      <c r="H42" s="1" t="s">
        <v>8</v>
      </c>
      <c r="J42" s="4">
        <v>276944127</v>
      </c>
      <c r="L42">
        <f t="shared" si="15"/>
        <v>2036865.9131633786</v>
      </c>
      <c r="M42">
        <f t="shared" si="12"/>
        <v>102449.5421664038</v>
      </c>
      <c r="N42">
        <f t="shared" si="13"/>
        <v>0</v>
      </c>
      <c r="O42">
        <f t="shared" si="14"/>
        <v>0</v>
      </c>
      <c r="P42" t="str">
        <f t="shared" si="16"/>
        <v xml:space="preserve"> -   </v>
      </c>
      <c r="Q42" t="str">
        <f t="shared" si="16"/>
        <v xml:space="preserve"> -   </v>
      </c>
      <c r="R42">
        <f t="shared" si="17"/>
        <v>2139315.4553297823</v>
      </c>
      <c r="S42" s="6">
        <f t="shared" ref="S42:S71" si="18">1-R42/$R$40</f>
        <v>-4.1861221971010387E-2</v>
      </c>
    </row>
    <row r="43" spans="1:25" x14ac:dyDescent="0.2">
      <c r="A43" s="2">
        <v>2022</v>
      </c>
      <c r="B43" s="1">
        <v>10.7</v>
      </c>
      <c r="C43" s="4">
        <v>207509604</v>
      </c>
      <c r="D43" s="4">
        <v>53007269</v>
      </c>
      <c r="E43" s="4">
        <v>14075107</v>
      </c>
      <c r="F43" s="4">
        <v>234457</v>
      </c>
      <c r="G43" s="1" t="s">
        <v>8</v>
      </c>
      <c r="H43" s="1" t="s">
        <v>8</v>
      </c>
      <c r="J43" s="4">
        <v>280735505</v>
      </c>
      <c r="L43">
        <f t="shared" si="15"/>
        <v>2066148.3825687522</v>
      </c>
      <c r="M43">
        <f t="shared" si="12"/>
        <v>103409.84795819773</v>
      </c>
      <c r="N43">
        <f t="shared" si="13"/>
        <v>0</v>
      </c>
      <c r="O43">
        <f t="shared" si="14"/>
        <v>0</v>
      </c>
      <c r="P43" t="str">
        <f t="shared" si="16"/>
        <v xml:space="preserve"> -   </v>
      </c>
      <c r="Q43" t="str">
        <f t="shared" si="16"/>
        <v xml:space="preserve"> -   </v>
      </c>
      <c r="R43">
        <f t="shared" si="17"/>
        <v>2169558.2305269497</v>
      </c>
      <c r="S43" s="6">
        <f t="shared" si="18"/>
        <v>-5.6589659819769933E-2</v>
      </c>
    </row>
    <row r="44" spans="1:25" x14ac:dyDescent="0.2">
      <c r="A44" s="2">
        <v>2023</v>
      </c>
      <c r="B44" s="1">
        <v>10.3</v>
      </c>
      <c r="C44" s="4">
        <v>209125640</v>
      </c>
      <c r="D44" s="4">
        <v>52258070</v>
      </c>
      <c r="E44" s="4">
        <v>15336227</v>
      </c>
      <c r="F44" s="4">
        <v>322982</v>
      </c>
      <c r="G44" s="1" t="s">
        <v>8</v>
      </c>
      <c r="H44" s="1" t="s">
        <v>8</v>
      </c>
      <c r="J44" s="4">
        <v>283105387</v>
      </c>
      <c r="L44">
        <f t="shared" si="15"/>
        <v>2082239.0603167221</v>
      </c>
      <c r="M44">
        <f t="shared" si="12"/>
        <v>101948.26436519214</v>
      </c>
      <c r="N44">
        <f t="shared" si="13"/>
        <v>0</v>
      </c>
      <c r="O44">
        <f t="shared" si="14"/>
        <v>0</v>
      </c>
      <c r="P44" t="str">
        <f t="shared" si="16"/>
        <v xml:space="preserve"> -   </v>
      </c>
      <c r="Q44" t="str">
        <f t="shared" si="16"/>
        <v xml:space="preserve"> -   </v>
      </c>
      <c r="R44">
        <f t="shared" si="17"/>
        <v>2184187.3246819144</v>
      </c>
      <c r="S44" s="6">
        <f t="shared" si="18"/>
        <v>-6.371412847849367E-2</v>
      </c>
    </row>
    <row r="45" spans="1:25" x14ac:dyDescent="0.2">
      <c r="A45" s="2">
        <v>2024</v>
      </c>
      <c r="B45" s="1">
        <v>10.4</v>
      </c>
      <c r="C45" s="4">
        <v>214191682</v>
      </c>
      <c r="D45" s="4">
        <v>50202820</v>
      </c>
      <c r="E45" s="4">
        <v>15508496</v>
      </c>
      <c r="F45" s="4">
        <v>391932</v>
      </c>
      <c r="G45" s="4">
        <v>61875</v>
      </c>
      <c r="H45" s="4">
        <v>9591</v>
      </c>
      <c r="J45" s="4">
        <v>286285448</v>
      </c>
      <c r="L45">
        <f t="shared" si="15"/>
        <v>2132681.0364111173</v>
      </c>
      <c r="M45">
        <f t="shared" si="12"/>
        <v>97938.755970860686</v>
      </c>
      <c r="N45">
        <f t="shared" si="13"/>
        <v>0</v>
      </c>
      <c r="O45">
        <f t="shared" si="14"/>
        <v>0</v>
      </c>
      <c r="P45">
        <f t="shared" ref="P45:P71" si="19">G45*1000*G$2*$L$75/1000000</f>
        <v>0</v>
      </c>
      <c r="Q45">
        <f t="shared" ref="Q45:Q71" si="20">H45*1000*H$2*$J$75/1000000</f>
        <v>0</v>
      </c>
      <c r="R45">
        <f t="shared" si="17"/>
        <v>2230619.7923819781</v>
      </c>
      <c r="S45" s="6">
        <f t="shared" si="18"/>
        <v>-8.6327057028416476E-2</v>
      </c>
    </row>
    <row r="46" spans="1:25" x14ac:dyDescent="0.2">
      <c r="A46" s="2">
        <v>2025</v>
      </c>
      <c r="B46" s="1">
        <v>10.6</v>
      </c>
      <c r="C46" s="4">
        <v>220538033</v>
      </c>
      <c r="D46" s="4">
        <v>48515066</v>
      </c>
      <c r="E46" s="4">
        <v>15775916</v>
      </c>
      <c r="F46" s="4">
        <v>478428</v>
      </c>
      <c r="G46" s="4">
        <v>86859</v>
      </c>
      <c r="H46" s="4">
        <v>12683</v>
      </c>
      <c r="J46" s="4">
        <v>291222001</v>
      </c>
      <c r="L46">
        <f t="shared" si="15"/>
        <v>2195870.8965482102</v>
      </c>
      <c r="M46">
        <f t="shared" si="12"/>
        <v>94646.181427342133</v>
      </c>
      <c r="N46">
        <f t="shared" si="13"/>
        <v>0</v>
      </c>
      <c r="O46">
        <f t="shared" si="14"/>
        <v>0</v>
      </c>
      <c r="P46">
        <f t="shared" si="19"/>
        <v>0</v>
      </c>
      <c r="Q46">
        <f t="shared" si="20"/>
        <v>0</v>
      </c>
      <c r="R46">
        <f t="shared" si="17"/>
        <v>2290517.0779755525</v>
      </c>
      <c r="S46" s="6">
        <f t="shared" si="18"/>
        <v>-0.11549744375459836</v>
      </c>
    </row>
    <row r="47" spans="1:25" x14ac:dyDescent="0.2">
      <c r="A47" s="2">
        <v>2026</v>
      </c>
      <c r="B47" s="1">
        <v>10.8</v>
      </c>
      <c r="C47" s="4">
        <v>226444170</v>
      </c>
      <c r="D47" s="4">
        <v>46792620</v>
      </c>
      <c r="E47" s="4">
        <v>16016651</v>
      </c>
      <c r="F47" s="4">
        <v>582875</v>
      </c>
      <c r="G47" s="4">
        <v>121695</v>
      </c>
      <c r="H47" s="4">
        <v>16739</v>
      </c>
      <c r="J47" s="4">
        <v>295665950</v>
      </c>
      <c r="L47">
        <f t="shared" si="15"/>
        <v>2254677.5983805717</v>
      </c>
      <c r="M47">
        <f t="shared" si="12"/>
        <v>91285.927591661486</v>
      </c>
      <c r="N47">
        <f t="shared" si="13"/>
        <v>0</v>
      </c>
      <c r="O47">
        <f t="shared" si="14"/>
        <v>0</v>
      </c>
      <c r="P47">
        <f t="shared" si="19"/>
        <v>0</v>
      </c>
      <c r="Q47">
        <f t="shared" si="20"/>
        <v>0</v>
      </c>
      <c r="R47">
        <f t="shared" si="17"/>
        <v>2345963.5259722332</v>
      </c>
      <c r="S47" s="6">
        <f t="shared" si="18"/>
        <v>-0.14250024220578283</v>
      </c>
    </row>
    <row r="48" spans="1:25" x14ac:dyDescent="0.2">
      <c r="A48" s="2">
        <v>2027</v>
      </c>
      <c r="B48" s="1">
        <v>10.9</v>
      </c>
      <c r="C48" s="4">
        <v>232112513</v>
      </c>
      <c r="D48" s="4">
        <v>45089631</v>
      </c>
      <c r="E48" s="4">
        <v>16246036</v>
      </c>
      <c r="F48" s="4">
        <v>709467</v>
      </c>
      <c r="G48" s="4">
        <v>170344</v>
      </c>
      <c r="H48" s="4">
        <v>22073</v>
      </c>
      <c r="J48" s="4">
        <v>299900385</v>
      </c>
      <c r="L48">
        <f t="shared" si="15"/>
        <v>2311116.6137106526</v>
      </c>
      <c r="M48">
        <f t="shared" si="12"/>
        <v>87963.631670992894</v>
      </c>
      <c r="N48">
        <f t="shared" si="13"/>
        <v>0</v>
      </c>
      <c r="O48">
        <f t="shared" si="14"/>
        <v>0</v>
      </c>
      <c r="P48">
        <f t="shared" si="19"/>
        <v>0</v>
      </c>
      <c r="Q48">
        <f t="shared" si="20"/>
        <v>0</v>
      </c>
      <c r="R48">
        <f t="shared" si="17"/>
        <v>2399080.2453816454</v>
      </c>
      <c r="S48" s="6">
        <f t="shared" si="18"/>
        <v>-0.16836844694067099</v>
      </c>
    </row>
    <row r="49" spans="1:19" x14ac:dyDescent="0.2">
      <c r="A49" s="2">
        <v>2028</v>
      </c>
      <c r="B49" s="1">
        <v>11.1</v>
      </c>
      <c r="C49" s="4">
        <v>236962105</v>
      </c>
      <c r="D49" s="4">
        <v>43305715</v>
      </c>
      <c r="E49" s="4">
        <v>16424508</v>
      </c>
      <c r="F49" s="4">
        <v>860713</v>
      </c>
      <c r="G49" s="4">
        <v>237657</v>
      </c>
      <c r="H49" s="4">
        <v>29009</v>
      </c>
      <c r="J49" s="4">
        <v>303194945</v>
      </c>
      <c r="L49">
        <f t="shared" si="15"/>
        <v>2359403.4229656029</v>
      </c>
      <c r="M49">
        <f t="shared" si="12"/>
        <v>84483.458370040593</v>
      </c>
      <c r="N49">
        <f t="shared" si="13"/>
        <v>0</v>
      </c>
      <c r="O49">
        <f t="shared" si="14"/>
        <v>0</v>
      </c>
      <c r="P49">
        <f t="shared" si="19"/>
        <v>0</v>
      </c>
      <c r="Q49">
        <f t="shared" si="20"/>
        <v>0</v>
      </c>
      <c r="R49">
        <f t="shared" si="17"/>
        <v>2443886.8813356436</v>
      </c>
      <c r="S49" s="6">
        <f t="shared" si="18"/>
        <v>-0.19018958433821598</v>
      </c>
    </row>
    <row r="50" spans="1:19" x14ac:dyDescent="0.2">
      <c r="A50" s="2">
        <v>2029</v>
      </c>
      <c r="B50" s="1">
        <v>11.2</v>
      </c>
      <c r="C50" s="4">
        <v>242137195</v>
      </c>
      <c r="D50" s="4">
        <v>41661440</v>
      </c>
      <c r="E50" s="4">
        <v>16632511</v>
      </c>
      <c r="F50" s="4">
        <v>1045936</v>
      </c>
      <c r="G50" s="4">
        <v>332121</v>
      </c>
      <c r="H50" s="4">
        <v>38190</v>
      </c>
      <c r="J50" s="4">
        <v>307034667</v>
      </c>
      <c r="L50">
        <f t="shared" si="15"/>
        <v>2410931.1769925817</v>
      </c>
      <c r="M50">
        <f t="shared" si="12"/>
        <v>81275.705339952081</v>
      </c>
      <c r="N50">
        <f t="shared" si="13"/>
        <v>0</v>
      </c>
      <c r="O50">
        <f t="shared" si="14"/>
        <v>0</v>
      </c>
      <c r="P50">
        <f t="shared" si="19"/>
        <v>0</v>
      </c>
      <c r="Q50">
        <f t="shared" si="20"/>
        <v>0</v>
      </c>
      <c r="R50">
        <f t="shared" si="17"/>
        <v>2492206.8823325336</v>
      </c>
      <c r="S50" s="6">
        <f t="shared" si="18"/>
        <v>-0.21372175448116471</v>
      </c>
    </row>
    <row r="51" spans="1:19" x14ac:dyDescent="0.2">
      <c r="A51" s="2">
        <v>2030</v>
      </c>
      <c r="B51" s="1">
        <v>11.3</v>
      </c>
      <c r="C51" s="4">
        <v>247061430</v>
      </c>
      <c r="D51" s="4">
        <v>40049730</v>
      </c>
      <c r="E51" s="4">
        <v>16830597</v>
      </c>
      <c r="F51" s="4">
        <v>1270071</v>
      </c>
      <c r="G51" s="4">
        <v>463785</v>
      </c>
      <c r="H51" s="4">
        <v>50238</v>
      </c>
      <c r="J51" s="4">
        <v>310691318</v>
      </c>
      <c r="L51">
        <f t="shared" si="15"/>
        <v>2459961.1976977359</v>
      </c>
      <c r="M51">
        <f t="shared" si="12"/>
        <v>78131.482119308392</v>
      </c>
      <c r="N51">
        <f t="shared" si="13"/>
        <v>0</v>
      </c>
      <c r="O51">
        <f t="shared" si="14"/>
        <v>0</v>
      </c>
      <c r="P51">
        <f t="shared" si="19"/>
        <v>0</v>
      </c>
      <c r="Q51">
        <f t="shared" si="20"/>
        <v>0</v>
      </c>
      <c r="R51">
        <f t="shared" si="17"/>
        <v>2538092.6798170442</v>
      </c>
      <c r="S51" s="6">
        <f t="shared" si="18"/>
        <v>-0.23606845090652073</v>
      </c>
    </row>
    <row r="52" spans="1:19" x14ac:dyDescent="0.2">
      <c r="A52" s="2">
        <v>2031</v>
      </c>
      <c r="B52" s="1">
        <v>11.4</v>
      </c>
      <c r="C52" s="4">
        <v>251309015</v>
      </c>
      <c r="D52" s="4">
        <v>38409907</v>
      </c>
      <c r="E52" s="4">
        <v>16991025</v>
      </c>
      <c r="F52" s="4">
        <v>1538612</v>
      </c>
      <c r="G52" s="4">
        <v>646124</v>
      </c>
      <c r="H52" s="4">
        <v>65932</v>
      </c>
      <c r="J52" s="4">
        <v>313652805</v>
      </c>
      <c r="L52">
        <f t="shared" si="15"/>
        <v>2502253.8950399435</v>
      </c>
      <c r="M52">
        <f t="shared" si="12"/>
        <v>74932.414325260077</v>
      </c>
      <c r="N52">
        <f t="shared" si="13"/>
        <v>0</v>
      </c>
      <c r="O52">
        <f t="shared" si="14"/>
        <v>0</v>
      </c>
      <c r="P52">
        <f t="shared" si="19"/>
        <v>0</v>
      </c>
      <c r="Q52">
        <f t="shared" si="20"/>
        <v>0</v>
      </c>
      <c r="R52">
        <f t="shared" si="17"/>
        <v>2577186.3093652036</v>
      </c>
      <c r="S52" s="6">
        <f t="shared" si="18"/>
        <v>-0.25510731520811514</v>
      </c>
    </row>
    <row r="53" spans="1:19" x14ac:dyDescent="0.2">
      <c r="A53" s="2">
        <v>2032</v>
      </c>
      <c r="B53" s="1">
        <v>11.5</v>
      </c>
      <c r="C53" s="4">
        <v>255162821</v>
      </c>
      <c r="D53" s="4">
        <v>36797862</v>
      </c>
      <c r="E53" s="4">
        <v>17134653</v>
      </c>
      <c r="F53" s="4">
        <v>1861942</v>
      </c>
      <c r="G53" s="4">
        <v>899188</v>
      </c>
      <c r="H53" s="4">
        <v>86436</v>
      </c>
      <c r="J53" s="4">
        <v>316304164</v>
      </c>
      <c r="L53">
        <f t="shared" si="15"/>
        <v>2540625.7818352832</v>
      </c>
      <c r="M53">
        <f t="shared" si="12"/>
        <v>71787.537565965555</v>
      </c>
      <c r="N53">
        <f t="shared" si="13"/>
        <v>0</v>
      </c>
      <c r="O53">
        <f t="shared" si="14"/>
        <v>0</v>
      </c>
      <c r="P53">
        <f t="shared" si="19"/>
        <v>0</v>
      </c>
      <c r="Q53">
        <f t="shared" si="20"/>
        <v>0</v>
      </c>
      <c r="R53">
        <f t="shared" si="17"/>
        <v>2612413.3194012488</v>
      </c>
      <c r="S53" s="6">
        <f t="shared" si="18"/>
        <v>-0.27226310942775789</v>
      </c>
    </row>
    <row r="54" spans="1:19" x14ac:dyDescent="0.2">
      <c r="A54" s="2">
        <v>2033</v>
      </c>
      <c r="B54" s="1">
        <v>11.6</v>
      </c>
      <c r="C54" s="4">
        <v>259041323</v>
      </c>
      <c r="D54" s="4">
        <v>35277188</v>
      </c>
      <c r="E54" s="4">
        <v>17291118</v>
      </c>
      <c r="F54" s="4">
        <v>2254733</v>
      </c>
      <c r="G54" s="4">
        <v>1252211</v>
      </c>
      <c r="H54" s="4">
        <v>113393</v>
      </c>
      <c r="J54" s="4">
        <v>319192495</v>
      </c>
      <c r="L54">
        <f t="shared" si="15"/>
        <v>2579243.5637577511</v>
      </c>
      <c r="M54">
        <f t="shared" si="12"/>
        <v>68820.91298596721</v>
      </c>
      <c r="N54">
        <f t="shared" si="13"/>
        <v>0</v>
      </c>
      <c r="O54">
        <f t="shared" si="14"/>
        <v>0</v>
      </c>
      <c r="P54">
        <f t="shared" si="19"/>
        <v>0</v>
      </c>
      <c r="Q54">
        <f t="shared" si="20"/>
        <v>0</v>
      </c>
      <c r="R54">
        <f t="shared" si="17"/>
        <v>2648064.4767437181</v>
      </c>
      <c r="S54" s="6">
        <f t="shared" si="18"/>
        <v>-0.28962546627932362</v>
      </c>
    </row>
    <row r="55" spans="1:19" x14ac:dyDescent="0.2">
      <c r="A55" s="2">
        <v>2034</v>
      </c>
      <c r="B55" s="1">
        <v>11.8</v>
      </c>
      <c r="C55" s="4">
        <v>263110462</v>
      </c>
      <c r="D55" s="4">
        <v>33866073</v>
      </c>
      <c r="E55" s="4">
        <v>17473116</v>
      </c>
      <c r="F55" s="4">
        <v>2734159</v>
      </c>
      <c r="G55" s="4">
        <v>1746240</v>
      </c>
      <c r="H55" s="4">
        <v>148963</v>
      </c>
      <c r="J55" s="4">
        <v>322552160</v>
      </c>
      <c r="L55">
        <f>C55*1000*C$2*$D$75/1000000</f>
        <v>2619759.4955567312</v>
      </c>
      <c r="M55">
        <f t="shared" si="12"/>
        <v>66068.022856850541</v>
      </c>
      <c r="N55">
        <f t="shared" si="13"/>
        <v>0</v>
      </c>
      <c r="O55">
        <f t="shared" si="14"/>
        <v>0</v>
      </c>
      <c r="P55">
        <f t="shared" si="19"/>
        <v>0</v>
      </c>
      <c r="Q55">
        <f t="shared" si="20"/>
        <v>0</v>
      </c>
      <c r="R55">
        <f t="shared" si="17"/>
        <v>2685827.5184135819</v>
      </c>
      <c r="S55" s="6">
        <f t="shared" si="18"/>
        <v>-0.30801632520641054</v>
      </c>
    </row>
    <row r="56" spans="1:19" x14ac:dyDescent="0.2">
      <c r="A56" s="2">
        <v>2035</v>
      </c>
      <c r="B56" s="1">
        <v>11.8</v>
      </c>
      <c r="C56" s="4">
        <v>266304541</v>
      </c>
      <c r="D56" s="4">
        <v>32429300</v>
      </c>
      <c r="E56" s="4">
        <v>17612438</v>
      </c>
      <c r="F56" s="4">
        <v>3307151</v>
      </c>
      <c r="G56" s="4">
        <v>2429026</v>
      </c>
      <c r="H56" s="4">
        <v>195196</v>
      </c>
      <c r="J56" s="4">
        <v>325124040</v>
      </c>
      <c r="L56">
        <f>C56*1000*C$2*$E$75/1000000</f>
        <v>530312.51185642858</v>
      </c>
      <c r="M56">
        <f t="shared" si="12"/>
        <v>63265.077519665865</v>
      </c>
      <c r="N56">
        <f t="shared" si="13"/>
        <v>0</v>
      </c>
      <c r="O56">
        <f t="shared" si="14"/>
        <v>0</v>
      </c>
      <c r="P56">
        <f t="shared" si="19"/>
        <v>0</v>
      </c>
      <c r="Q56">
        <f t="shared" si="20"/>
        <v>0</v>
      </c>
      <c r="R56">
        <f t="shared" si="17"/>
        <v>593577.5893760944</v>
      </c>
      <c r="S56" s="6">
        <f t="shared" si="18"/>
        <v>0.71092366436129351</v>
      </c>
    </row>
    <row r="57" spans="1:19" x14ac:dyDescent="0.2">
      <c r="A57" s="2">
        <v>2036</v>
      </c>
      <c r="B57" s="1">
        <v>12</v>
      </c>
      <c r="C57" s="4">
        <v>269642799</v>
      </c>
      <c r="D57" s="4">
        <v>31101413</v>
      </c>
      <c r="E57" s="4">
        <v>17780273</v>
      </c>
      <c r="F57" s="4">
        <v>4006400</v>
      </c>
      <c r="G57" s="4">
        <v>3383999</v>
      </c>
      <c r="H57" s="4">
        <v>256173</v>
      </c>
      <c r="J57" s="4">
        <v>328222249</v>
      </c>
      <c r="L57">
        <f t="shared" ref="L57:L71" si="21">C57*1000*C$2*$E$75/1000000</f>
        <v>536960.23922358907</v>
      </c>
      <c r="M57">
        <f t="shared" si="12"/>
        <v>60674.553703476297</v>
      </c>
      <c r="N57">
        <f t="shared" si="13"/>
        <v>0</v>
      </c>
      <c r="O57">
        <f t="shared" si="14"/>
        <v>0</v>
      </c>
      <c r="P57">
        <f t="shared" si="19"/>
        <v>0</v>
      </c>
      <c r="Q57">
        <f t="shared" si="20"/>
        <v>0</v>
      </c>
      <c r="R57">
        <f t="shared" si="17"/>
        <v>597634.7929270654</v>
      </c>
      <c r="S57" s="6">
        <f t="shared" si="18"/>
        <v>0.70894777855218161</v>
      </c>
    </row>
    <row r="58" spans="1:19" x14ac:dyDescent="0.2">
      <c r="A58" s="2">
        <v>2037</v>
      </c>
      <c r="B58" s="1">
        <v>12.1</v>
      </c>
      <c r="C58" s="4">
        <v>272533875</v>
      </c>
      <c r="D58" s="4">
        <v>29815506</v>
      </c>
      <c r="E58" s="4">
        <v>17942249</v>
      </c>
      <c r="F58" s="4">
        <v>4851477</v>
      </c>
      <c r="G58" s="4">
        <v>4712460</v>
      </c>
      <c r="H58" s="4">
        <v>336058</v>
      </c>
      <c r="J58" s="4">
        <v>331212313</v>
      </c>
      <c r="L58">
        <f t="shared" si="21"/>
        <v>542717.45902078296</v>
      </c>
      <c r="M58">
        <f t="shared" si="12"/>
        <v>58165.927059112058</v>
      </c>
      <c r="N58">
        <f t="shared" si="13"/>
        <v>0</v>
      </c>
      <c r="O58">
        <f t="shared" si="14"/>
        <v>0</v>
      </c>
      <c r="P58">
        <f t="shared" si="19"/>
        <v>0</v>
      </c>
      <c r="Q58">
        <f t="shared" si="20"/>
        <v>0</v>
      </c>
      <c r="R58">
        <f t="shared" si="17"/>
        <v>600883.38607989508</v>
      </c>
      <c r="S58" s="6">
        <f t="shared" si="18"/>
        <v>0.70736569152361306</v>
      </c>
    </row>
    <row r="59" spans="1:19" x14ac:dyDescent="0.2">
      <c r="A59" s="2">
        <v>2038</v>
      </c>
      <c r="B59" s="1">
        <v>12.2</v>
      </c>
      <c r="C59" s="4">
        <v>275298945</v>
      </c>
      <c r="D59" s="4">
        <v>28614872</v>
      </c>
      <c r="E59" s="4">
        <v>18126038</v>
      </c>
      <c r="F59" s="4">
        <v>5881407</v>
      </c>
      <c r="G59" s="4">
        <v>6569810</v>
      </c>
      <c r="H59" s="4">
        <v>441351</v>
      </c>
      <c r="J59" s="4">
        <v>334605051</v>
      </c>
      <c r="L59">
        <f t="shared" si="21"/>
        <v>548223.75347469107</v>
      </c>
      <c r="M59">
        <f t="shared" si="12"/>
        <v>55823.656239737407</v>
      </c>
      <c r="N59">
        <f t="shared" si="13"/>
        <v>0</v>
      </c>
      <c r="O59">
        <f t="shared" si="14"/>
        <v>0</v>
      </c>
      <c r="P59">
        <f t="shared" si="19"/>
        <v>0</v>
      </c>
      <c r="Q59">
        <f t="shared" si="20"/>
        <v>0</v>
      </c>
      <c r="R59">
        <f t="shared" si="17"/>
        <v>604047.40971442848</v>
      </c>
      <c r="S59" s="6">
        <f t="shared" si="18"/>
        <v>0.70582479042742008</v>
      </c>
    </row>
    <row r="60" spans="1:19" x14ac:dyDescent="0.2">
      <c r="A60" s="2">
        <v>2039</v>
      </c>
      <c r="B60" s="1">
        <v>12.3</v>
      </c>
      <c r="C60" s="4">
        <v>277055524</v>
      </c>
      <c r="D60" s="4">
        <v>27418624</v>
      </c>
      <c r="E60" s="4">
        <v>18282397</v>
      </c>
      <c r="F60" s="4">
        <v>7118569</v>
      </c>
      <c r="G60" s="4">
        <v>9144546</v>
      </c>
      <c r="H60" s="4">
        <v>578706</v>
      </c>
      <c r="J60" s="4">
        <v>337491422</v>
      </c>
      <c r="L60">
        <f t="shared" si="21"/>
        <v>551721.76300267817</v>
      </c>
      <c r="M60">
        <f t="shared" si="12"/>
        <v>53489.941899534402</v>
      </c>
      <c r="N60">
        <f t="shared" si="13"/>
        <v>0</v>
      </c>
      <c r="O60">
        <f t="shared" si="14"/>
        <v>0</v>
      </c>
      <c r="P60">
        <f t="shared" si="19"/>
        <v>0</v>
      </c>
      <c r="Q60">
        <f t="shared" si="20"/>
        <v>0</v>
      </c>
      <c r="R60">
        <f t="shared" si="17"/>
        <v>605211.7049022126</v>
      </c>
      <c r="S60" s="6">
        <f t="shared" si="18"/>
        <v>0.70525777072770368</v>
      </c>
    </row>
    <row r="61" spans="1:19" x14ac:dyDescent="0.2">
      <c r="A61" s="2">
        <v>2040</v>
      </c>
      <c r="B61" s="1">
        <v>12.4</v>
      </c>
      <c r="C61" s="4">
        <v>278334493</v>
      </c>
      <c r="D61" s="4">
        <v>26298418</v>
      </c>
      <c r="E61" s="4">
        <v>18458377</v>
      </c>
      <c r="F61" s="4">
        <v>8624508</v>
      </c>
      <c r="G61" s="4">
        <v>12740944</v>
      </c>
      <c r="H61" s="4">
        <v>759559</v>
      </c>
      <c r="J61" s="4">
        <v>340739988</v>
      </c>
      <c r="L61">
        <f t="shared" si="21"/>
        <v>554268.67136717553</v>
      </c>
      <c r="M61">
        <f t="shared" si="12"/>
        <v>51304.574980482961</v>
      </c>
      <c r="N61">
        <f t="shared" si="13"/>
        <v>0</v>
      </c>
      <c r="O61">
        <f t="shared" si="14"/>
        <v>0</v>
      </c>
      <c r="P61">
        <f t="shared" si="19"/>
        <v>0</v>
      </c>
      <c r="Q61">
        <f t="shared" si="20"/>
        <v>0</v>
      </c>
      <c r="R61">
        <f t="shared" si="17"/>
        <v>605573.24634765845</v>
      </c>
      <c r="S61" s="6">
        <f t="shared" si="18"/>
        <v>0.70508169757719807</v>
      </c>
    </row>
    <row r="62" spans="1:19" x14ac:dyDescent="0.2">
      <c r="A62" s="2">
        <v>2041</v>
      </c>
      <c r="B62" s="1">
        <v>12.5</v>
      </c>
      <c r="C62" s="4">
        <v>278115260</v>
      </c>
      <c r="D62" s="4">
        <v>25178894</v>
      </c>
      <c r="E62" s="4">
        <v>18602740</v>
      </c>
      <c r="F62" s="4">
        <v>10430353</v>
      </c>
      <c r="G62" s="4">
        <v>17720015</v>
      </c>
      <c r="H62" s="4">
        <v>995149</v>
      </c>
      <c r="J62" s="4">
        <v>343404925</v>
      </c>
      <c r="L62">
        <f t="shared" si="21"/>
        <v>553832.09599945834</v>
      </c>
      <c r="M62">
        <f t="shared" si="12"/>
        <v>49120.53854907291</v>
      </c>
      <c r="N62">
        <f t="shared" si="13"/>
        <v>0</v>
      </c>
      <c r="O62">
        <f t="shared" si="14"/>
        <v>0</v>
      </c>
      <c r="P62">
        <f t="shared" si="19"/>
        <v>0</v>
      </c>
      <c r="Q62">
        <f t="shared" si="20"/>
        <v>0</v>
      </c>
      <c r="R62">
        <f t="shared" si="17"/>
        <v>602952.63454853126</v>
      </c>
      <c r="S62" s="6">
        <f t="shared" si="18"/>
        <v>0.70635795340218543</v>
      </c>
    </row>
    <row r="63" spans="1:19" x14ac:dyDescent="0.2">
      <c r="A63" s="2">
        <v>2042</v>
      </c>
      <c r="B63" s="1">
        <v>12.6</v>
      </c>
      <c r="C63" s="4">
        <v>276880012</v>
      </c>
      <c r="D63" s="4">
        <v>24134983</v>
      </c>
      <c r="E63" s="4">
        <v>18769974</v>
      </c>
      <c r="F63" s="4">
        <v>12628942</v>
      </c>
      <c r="G63" s="4">
        <v>24673453</v>
      </c>
      <c r="H63" s="4">
        <v>1305324</v>
      </c>
      <c r="J63" s="4">
        <v>346492042</v>
      </c>
      <c r="L63">
        <f t="shared" si="21"/>
        <v>551372.25259166001</v>
      </c>
      <c r="M63">
        <f t="shared" si="12"/>
        <v>47084.012619169021</v>
      </c>
      <c r="N63">
        <f t="shared" si="13"/>
        <v>0</v>
      </c>
      <c r="O63">
        <f t="shared" si="14"/>
        <v>0</v>
      </c>
      <c r="P63">
        <f t="shared" si="19"/>
        <v>0</v>
      </c>
      <c r="Q63">
        <f t="shared" si="20"/>
        <v>0</v>
      </c>
      <c r="R63">
        <f t="shared" si="17"/>
        <v>598456.26521082898</v>
      </c>
      <c r="S63" s="6">
        <f t="shared" si="18"/>
        <v>0.70854771594559174</v>
      </c>
    </row>
    <row r="64" spans="1:19" x14ac:dyDescent="0.2">
      <c r="A64" s="2">
        <v>2043</v>
      </c>
      <c r="B64" s="1">
        <v>12.7</v>
      </c>
      <c r="C64" s="4">
        <v>273008485</v>
      </c>
      <c r="D64" s="4">
        <v>23063745</v>
      </c>
      <c r="E64" s="4">
        <v>18880908</v>
      </c>
      <c r="F64" s="4">
        <v>15244299</v>
      </c>
      <c r="G64" s="4">
        <v>34250604</v>
      </c>
      <c r="H64" s="4">
        <v>1706951</v>
      </c>
      <c r="J64" s="4">
        <v>348539888</v>
      </c>
      <c r="L64">
        <f t="shared" si="21"/>
        <v>543662.58605581976</v>
      </c>
      <c r="M64">
        <f t="shared" si="12"/>
        <v>44994.175493112896</v>
      </c>
      <c r="N64">
        <f t="shared" si="13"/>
        <v>0</v>
      </c>
      <c r="O64">
        <f t="shared" si="14"/>
        <v>0</v>
      </c>
      <c r="P64">
        <f t="shared" si="19"/>
        <v>0</v>
      </c>
      <c r="Q64">
        <f t="shared" si="20"/>
        <v>0</v>
      </c>
      <c r="R64">
        <f t="shared" si="17"/>
        <v>588656.76154893264</v>
      </c>
      <c r="S64" s="6">
        <f t="shared" si="18"/>
        <v>0.71332014108488417</v>
      </c>
    </row>
    <row r="65" spans="1:19" x14ac:dyDescent="0.2">
      <c r="A65" s="2">
        <v>2044</v>
      </c>
      <c r="B65" s="1">
        <v>12.8</v>
      </c>
      <c r="C65" s="4">
        <v>267322633</v>
      </c>
      <c r="D65" s="4">
        <v>22088131</v>
      </c>
      <c r="E65" s="4">
        <v>19033928</v>
      </c>
      <c r="F65" s="4">
        <v>18441415</v>
      </c>
      <c r="G65" s="4">
        <v>47648898</v>
      </c>
      <c r="H65" s="4">
        <v>2237020</v>
      </c>
      <c r="J65" s="4">
        <v>351364619</v>
      </c>
      <c r="L65">
        <f t="shared" si="21"/>
        <v>532339.91598477541</v>
      </c>
      <c r="M65">
        <f t="shared" si="12"/>
        <v>43090.887560925919</v>
      </c>
      <c r="N65">
        <f t="shared" si="13"/>
        <v>0</v>
      </c>
      <c r="O65">
        <f t="shared" si="14"/>
        <v>0</v>
      </c>
      <c r="P65">
        <f t="shared" si="19"/>
        <v>0</v>
      </c>
      <c r="Q65">
        <f t="shared" si="20"/>
        <v>0</v>
      </c>
      <c r="R65">
        <f t="shared" si="17"/>
        <v>575430.80354570132</v>
      </c>
      <c r="S65" s="6">
        <f t="shared" si="18"/>
        <v>0.71976127286498426</v>
      </c>
    </row>
    <row r="66" spans="1:19" x14ac:dyDescent="0.2">
      <c r="A66" s="2">
        <v>2045</v>
      </c>
      <c r="B66" s="1">
        <v>12.9</v>
      </c>
      <c r="C66" s="4">
        <v>258695420</v>
      </c>
      <c r="D66" s="4">
        <v>21180754</v>
      </c>
      <c r="E66" s="4">
        <v>19212650</v>
      </c>
      <c r="F66" s="4">
        <v>22337488</v>
      </c>
      <c r="G66" s="4">
        <v>66372901</v>
      </c>
      <c r="H66" s="4">
        <v>2935432</v>
      </c>
      <c r="J66" s="4">
        <v>354663809</v>
      </c>
      <c r="L66">
        <f t="shared" si="21"/>
        <v>515159.88976678305</v>
      </c>
      <c r="M66">
        <f t="shared" si="12"/>
        <v>41320.720574757179</v>
      </c>
      <c r="N66">
        <f t="shared" si="13"/>
        <v>0</v>
      </c>
      <c r="O66">
        <f t="shared" si="14"/>
        <v>0</v>
      </c>
      <c r="P66">
        <f t="shared" si="19"/>
        <v>0</v>
      </c>
      <c r="Q66">
        <f t="shared" si="20"/>
        <v>0</v>
      </c>
      <c r="R66">
        <f t="shared" si="17"/>
        <v>556480.61034154019</v>
      </c>
      <c r="S66" s="6">
        <f t="shared" si="18"/>
        <v>0.72899014624085146</v>
      </c>
    </row>
    <row r="67" spans="1:19" x14ac:dyDescent="0.2">
      <c r="A67" s="2">
        <v>2046</v>
      </c>
      <c r="B67" s="1">
        <v>13</v>
      </c>
      <c r="C67" s="4">
        <v>245475349</v>
      </c>
      <c r="D67" s="4">
        <v>20300765</v>
      </c>
      <c r="E67" s="4">
        <v>19383610</v>
      </c>
      <c r="F67" s="4">
        <v>27043504</v>
      </c>
      <c r="G67" s="4">
        <v>92409637</v>
      </c>
      <c r="H67" s="4">
        <v>3850018</v>
      </c>
      <c r="J67" s="4">
        <v>357819704</v>
      </c>
      <c r="L67">
        <f t="shared" si="21"/>
        <v>488833.75566255715</v>
      </c>
      <c r="M67">
        <f t="shared" si="12"/>
        <v>39603.983787300982</v>
      </c>
      <c r="N67">
        <f t="shared" si="13"/>
        <v>0</v>
      </c>
      <c r="O67">
        <f t="shared" si="14"/>
        <v>0</v>
      </c>
      <c r="P67">
        <f t="shared" si="19"/>
        <v>0</v>
      </c>
      <c r="Q67">
        <f t="shared" si="20"/>
        <v>0</v>
      </c>
      <c r="R67">
        <f t="shared" si="17"/>
        <v>528437.73944985808</v>
      </c>
      <c r="S67" s="6">
        <f t="shared" si="18"/>
        <v>0.74264721568425396</v>
      </c>
    </row>
    <row r="68" spans="1:19" x14ac:dyDescent="0.2">
      <c r="A68" s="2">
        <v>2047</v>
      </c>
      <c r="B68" s="1">
        <v>13.1</v>
      </c>
      <c r="C68" s="4">
        <v>225798934</v>
      </c>
      <c r="D68" s="4">
        <v>19424936</v>
      </c>
      <c r="E68" s="4">
        <v>19523525</v>
      </c>
      <c r="F68" s="4">
        <v>32686452</v>
      </c>
      <c r="G68" s="4">
        <v>128445805</v>
      </c>
      <c r="H68" s="4">
        <v>5041151</v>
      </c>
      <c r="J68" s="4">
        <v>360402528</v>
      </c>
      <c r="L68">
        <f t="shared" si="21"/>
        <v>449650.61209393316</v>
      </c>
      <c r="M68">
        <f t="shared" si="12"/>
        <v>37895.362584284834</v>
      </c>
      <c r="N68">
        <f t="shared" si="13"/>
        <v>0</v>
      </c>
      <c r="O68">
        <f t="shared" si="14"/>
        <v>0</v>
      </c>
      <c r="P68">
        <f t="shared" si="19"/>
        <v>0</v>
      </c>
      <c r="Q68">
        <f t="shared" si="20"/>
        <v>0</v>
      </c>
      <c r="R68">
        <f t="shared" si="17"/>
        <v>487545.97467821802</v>
      </c>
      <c r="S68" s="6">
        <f t="shared" si="18"/>
        <v>0.76256178410724729</v>
      </c>
    </row>
    <row r="69" spans="1:19" x14ac:dyDescent="0.2">
      <c r="A69" s="2">
        <v>2048</v>
      </c>
      <c r="B69" s="1">
        <v>13.2</v>
      </c>
      <c r="C69" s="4">
        <v>198094716</v>
      </c>
      <c r="D69" s="4">
        <v>18603779</v>
      </c>
      <c r="E69" s="4">
        <v>19682317</v>
      </c>
      <c r="F69" s="4">
        <v>39542763</v>
      </c>
      <c r="G69" s="4">
        <v>178696890</v>
      </c>
      <c r="H69" s="4">
        <v>6606799</v>
      </c>
      <c r="J69" s="4">
        <v>363333810</v>
      </c>
      <c r="L69">
        <f t="shared" si="21"/>
        <v>394481.09308600135</v>
      </c>
      <c r="M69">
        <f t="shared" si="12"/>
        <v>36293.398889082768</v>
      </c>
      <c r="N69">
        <f t="shared" si="13"/>
        <v>0</v>
      </c>
      <c r="O69">
        <f t="shared" si="14"/>
        <v>0</v>
      </c>
      <c r="P69">
        <f t="shared" si="19"/>
        <v>0</v>
      </c>
      <c r="Q69">
        <f t="shared" si="20"/>
        <v>0</v>
      </c>
      <c r="R69">
        <f t="shared" si="17"/>
        <v>430774.49197508412</v>
      </c>
      <c r="S69" s="6">
        <f t="shared" si="18"/>
        <v>0.79020988350036614</v>
      </c>
    </row>
    <row r="70" spans="1:19" x14ac:dyDescent="0.2">
      <c r="A70" s="2">
        <v>2049</v>
      </c>
      <c r="B70" s="1">
        <v>13.4</v>
      </c>
      <c r="C70" s="4">
        <v>159220164</v>
      </c>
      <c r="D70" s="4">
        <v>17828961</v>
      </c>
      <c r="E70" s="4">
        <v>19855346</v>
      </c>
      <c r="F70" s="4">
        <v>47868465</v>
      </c>
      <c r="G70" s="4">
        <v>248769613</v>
      </c>
      <c r="H70" s="4">
        <v>8664344</v>
      </c>
      <c r="J70" s="4">
        <v>366527919</v>
      </c>
      <c r="L70">
        <f t="shared" si="21"/>
        <v>317067.23735151213</v>
      </c>
      <c r="M70">
        <f t="shared" si="12"/>
        <v>34781.836171613315</v>
      </c>
      <c r="N70">
        <f t="shared" si="13"/>
        <v>0</v>
      </c>
      <c r="O70">
        <f t="shared" si="14"/>
        <v>0</v>
      </c>
      <c r="P70">
        <f t="shared" si="19"/>
        <v>0</v>
      </c>
      <c r="Q70">
        <f t="shared" si="20"/>
        <v>0</v>
      </c>
      <c r="R70">
        <f t="shared" si="17"/>
        <v>351849.07352312544</v>
      </c>
      <c r="S70" s="6">
        <f t="shared" si="18"/>
        <v>0.82864710074575598</v>
      </c>
    </row>
    <row r="71" spans="1:19" x14ac:dyDescent="0.2">
      <c r="A71" s="2">
        <v>2050</v>
      </c>
      <c r="B71" s="1">
        <v>13.5</v>
      </c>
      <c r="C71" s="4">
        <v>104780395</v>
      </c>
      <c r="D71" s="4">
        <v>17076131</v>
      </c>
      <c r="E71" s="4">
        <v>20017844</v>
      </c>
      <c r="F71" s="4">
        <v>57912270</v>
      </c>
      <c r="G71" s="4">
        <v>346111681</v>
      </c>
      <c r="H71" s="4">
        <v>11355830</v>
      </c>
      <c r="J71" s="4">
        <v>369527617</v>
      </c>
      <c r="L71">
        <f t="shared" si="21"/>
        <v>208657.17969773099</v>
      </c>
      <c r="M71">
        <f t="shared" si="12"/>
        <v>33313.168999977468</v>
      </c>
      <c r="N71">
        <f t="shared" si="13"/>
        <v>0</v>
      </c>
      <c r="O71">
        <f t="shared" si="14"/>
        <v>0</v>
      </c>
      <c r="P71">
        <f t="shared" si="19"/>
        <v>0</v>
      </c>
      <c r="Q71">
        <f t="shared" si="20"/>
        <v>0</v>
      </c>
      <c r="R71">
        <f t="shared" si="17"/>
        <v>241970.34869770845</v>
      </c>
      <c r="S71" s="6">
        <f t="shared" si="18"/>
        <v>0.88215878937027359</v>
      </c>
    </row>
    <row r="72" spans="1:19" x14ac:dyDescent="0.2">
      <c r="A72" s="1"/>
      <c r="B72" s="1"/>
      <c r="C72" s="1"/>
      <c r="D72" s="1"/>
      <c r="E72" s="1"/>
      <c r="F72" s="1"/>
      <c r="G72" s="1"/>
      <c r="H72" s="1"/>
      <c r="J72" s="1"/>
    </row>
    <row r="73" spans="1:19" x14ac:dyDescent="0.2">
      <c r="A73" s="1" t="s">
        <v>33</v>
      </c>
      <c r="B73" s="1"/>
      <c r="C73" s="1"/>
      <c r="D73" s="1"/>
      <c r="E73" s="1"/>
      <c r="F73" s="1"/>
      <c r="G73" s="1"/>
      <c r="H73" s="1"/>
      <c r="J73" s="1"/>
    </row>
    <row r="74" spans="1:19" s="8" customFormat="1" ht="51" x14ac:dyDescent="0.2">
      <c r="C74" s="8" t="s">
        <v>17</v>
      </c>
      <c r="D74" s="8" t="s">
        <v>18</v>
      </c>
      <c r="E74" s="8" t="s">
        <v>19</v>
      </c>
      <c r="F74" s="8" t="s">
        <v>20</v>
      </c>
      <c r="G74" s="8" t="s">
        <v>21</v>
      </c>
      <c r="H74" s="8" t="s">
        <v>22</v>
      </c>
      <c r="I74" s="8" t="s">
        <v>11</v>
      </c>
      <c r="J74" s="8" t="s">
        <v>24</v>
      </c>
      <c r="K74" s="8" t="s">
        <v>25</v>
      </c>
      <c r="L74" s="8" t="s">
        <v>26</v>
      </c>
      <c r="M74" t="s">
        <v>27</v>
      </c>
    </row>
    <row r="75" spans="1:19" x14ac:dyDescent="0.2">
      <c r="A75" s="1" t="s">
        <v>34</v>
      </c>
      <c r="B75" s="1" t="s">
        <v>16</v>
      </c>
      <c r="C75" s="1">
        <v>1.3374914447166923</v>
      </c>
      <c r="D75" s="1">
        <v>0.24768360087346158</v>
      </c>
      <c r="E75" s="1">
        <v>4.9536720174692322E-2</v>
      </c>
      <c r="F75">
        <v>0.45687626328887693</v>
      </c>
      <c r="G75" s="1">
        <v>0.22843813164443846</v>
      </c>
      <c r="H75" s="1">
        <v>4.5687626328887683E-2</v>
      </c>
      <c r="I75" s="1">
        <v>0</v>
      </c>
      <c r="J75" s="1">
        <v>0</v>
      </c>
      <c r="K75" s="1">
        <v>0</v>
      </c>
      <c r="L75" s="1">
        <v>0</v>
      </c>
    </row>
    <row r="76" spans="1:19" ht="17" x14ac:dyDescent="0.2">
      <c r="A76" s="8" t="s">
        <v>35</v>
      </c>
      <c r="B76" s="1" t="s">
        <v>16</v>
      </c>
      <c r="C76" s="1">
        <v>1.3374914447166926</v>
      </c>
      <c r="D76" s="1">
        <v>0.24768360087346158</v>
      </c>
      <c r="E76" s="1">
        <v>4.9536720174692322E-2</v>
      </c>
      <c r="F76">
        <v>0.45687626328887687</v>
      </c>
      <c r="G76" s="1">
        <v>0.22843813164443844</v>
      </c>
      <c r="H76" s="1">
        <v>4.568762632888769E-2</v>
      </c>
      <c r="I76" s="1">
        <v>0</v>
      </c>
      <c r="J76" s="1">
        <v>0</v>
      </c>
      <c r="K76" s="1">
        <v>0</v>
      </c>
      <c r="L76" s="1">
        <v>0</v>
      </c>
    </row>
    <row r="77" spans="1:19" x14ac:dyDescent="0.2">
      <c r="A77" s="1"/>
      <c r="B77" s="1"/>
      <c r="C77" s="1"/>
      <c r="D77" s="1"/>
      <c r="E77" s="1"/>
      <c r="F77" s="1"/>
      <c r="G77" s="1"/>
      <c r="H77" s="1"/>
      <c r="J77" s="1"/>
    </row>
    <row r="78" spans="1:19" x14ac:dyDescent="0.2">
      <c r="A78" s="1"/>
      <c r="B78" s="1"/>
      <c r="C78" s="1"/>
      <c r="D78" s="1"/>
      <c r="E78" s="1"/>
      <c r="F78" s="1"/>
      <c r="G78" s="1"/>
      <c r="H78" s="1"/>
      <c r="J78" s="1"/>
    </row>
  </sheetData>
  <mergeCells count="2">
    <mergeCell ref="L2:S2"/>
    <mergeCell ref="L38:S3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db26152-23a6-4a6e-8fcb-d99d6e3b8e71}" enabled="1" method="Standard" siteId="{7fbdd19f-c389-4ced-8a04-0b5090b80cf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sox</vt:lpstr>
      <vt:lpstr>nox</vt:lpstr>
      <vt:lpstr>voc</vt:lpstr>
      <vt:lpstr>co</vt:lpstr>
      <vt:lpstr>sox 0.1% sulfur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Xiaoli Mao</dc:creator>
  <cp:lastModifiedBy>Jonny Benoit</cp:lastModifiedBy>
  <dcterms:created xsi:type="dcterms:W3CDTF">2025-06-06T17:52:52Z</dcterms:created>
  <dcterms:modified xsi:type="dcterms:W3CDTF">2026-02-23T22:35:40Z</dcterms:modified>
</cp:coreProperties>
</file>