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ml.chartshape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/>
  <mc:AlternateContent xmlns:mc="http://schemas.openxmlformats.org/markup-compatibility/2006">
    <mc:Choice Requires="x15">
      <x15ac:absPath xmlns:x15ac="http://schemas.microsoft.com/office/spreadsheetml/2010/11/ac" url="https://theicct.sharepoint.com/sites/MB-Global-2024-Polaris/Shared Documents/General/Preliminary results/"/>
    </mc:Choice>
  </mc:AlternateContent>
  <xr:revisionPtr revIDLastSave="183" documentId="13_ncr:9_{26AD16C9-0FC7-464C-ACDE-DA046C3B7924}" xr6:coauthVersionLast="47" xr6:coauthVersionMax="47" xr10:uidLastSave="{24559D1F-812B-6748-B39A-590EDE47C12B}"/>
  <bookViews>
    <workbookView xWindow="0" yWindow="760" windowWidth="30240" windowHeight="17000" xr2:uid="{68229A5F-A923-2249-80E0-F2FE559134D1}"/>
  </bookViews>
  <sheets>
    <sheet name="account_for_FEUM" sheetId="4" r:id="rId1"/>
    <sheet name="emission_summary_global" sheetId="1" r:id="rId2"/>
    <sheet name="FEUM" sheetId="3" r:id="rId3"/>
    <sheet name="annual_emissions" sheetId="5" r:id="rId4"/>
  </sheets>
  <definedNames>
    <definedName name="_xlnm._FilterDatabase" localSheetId="1" hidden="1">emission_summary_global!$A$1:$M$65</definedName>
  </definedNames>
  <calcPr calcId="191028" iterate="1" iterateDelta="1.0000000000000001E-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1" i="4" l="1"/>
  <c r="E36" i="4"/>
  <c r="E26" i="4"/>
  <c r="E16" i="4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4" i="5"/>
  <c r="H5" i="5" l="1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4" i="5"/>
  <c r="C35" i="5"/>
  <c r="B35" i="5"/>
  <c r="C34" i="3" l="1"/>
  <c r="B43" i="4" l="1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42" i="4"/>
  <c r="G2" i="4"/>
  <c r="J6" i="4"/>
  <c r="J7" i="4"/>
  <c r="J8" i="4"/>
  <c r="J9" i="4"/>
  <c r="J10" i="4"/>
  <c r="J5" i="4"/>
  <c r="B34" i="3"/>
  <c r="B36" i="3" s="1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H6" i="4" l="1"/>
  <c r="M6" i="4" s="1"/>
  <c r="H11" i="4"/>
  <c r="M11" i="4" s="1"/>
  <c r="H12" i="4"/>
  <c r="M12" i="4" s="1"/>
  <c r="H13" i="4"/>
  <c r="M13" i="4" s="1"/>
  <c r="H14" i="4"/>
  <c r="M14" i="4" s="1"/>
  <c r="H15" i="4"/>
  <c r="M15" i="4" s="1"/>
  <c r="H21" i="4"/>
  <c r="M21" i="4" s="1"/>
  <c r="H22" i="4"/>
  <c r="M22" i="4" s="1"/>
  <c r="H23" i="4"/>
  <c r="M23" i="4" s="1"/>
  <c r="H24" i="4"/>
  <c r="M24" i="4" s="1"/>
  <c r="H25" i="4"/>
  <c r="M25" i="4" s="1"/>
  <c r="H31" i="4"/>
  <c r="M31" i="4" s="1"/>
  <c r="H32" i="4"/>
  <c r="M32" i="4" s="1"/>
  <c r="H33" i="4"/>
  <c r="M33" i="4" s="1"/>
  <c r="H34" i="4"/>
  <c r="M34" i="4" s="1"/>
  <c r="H35" i="4"/>
  <c r="M35" i="4" s="1"/>
  <c r="G9" i="4"/>
  <c r="G10" i="4"/>
  <c r="L10" i="4" s="1"/>
  <c r="G11" i="4"/>
  <c r="L11" i="4" s="1"/>
  <c r="G12" i="4"/>
  <c r="L12" i="4" s="1"/>
  <c r="G13" i="4"/>
  <c r="G19" i="4"/>
  <c r="G20" i="4"/>
  <c r="G21" i="4"/>
  <c r="G22" i="4"/>
  <c r="G23" i="4"/>
  <c r="G29" i="4"/>
  <c r="G30" i="4"/>
  <c r="G31" i="4"/>
  <c r="G32" i="4"/>
  <c r="G33" i="4"/>
  <c r="B80" i="4"/>
  <c r="G28" i="4"/>
  <c r="G18" i="4"/>
  <c r="G8" i="4"/>
  <c r="H30" i="4"/>
  <c r="M30" i="4" s="1"/>
  <c r="H20" i="4"/>
  <c r="M20" i="4" s="1"/>
  <c r="H10" i="4"/>
  <c r="M10" i="4" s="1"/>
  <c r="O10" i="4" s="1"/>
  <c r="G5" i="4"/>
  <c r="L5" i="4" s="1"/>
  <c r="G27" i="4"/>
  <c r="G17" i="4"/>
  <c r="L17" i="4" s="1"/>
  <c r="G7" i="4"/>
  <c r="L7" i="4" s="1"/>
  <c r="H29" i="4"/>
  <c r="M29" i="4" s="1"/>
  <c r="H19" i="4"/>
  <c r="M19" i="4" s="1"/>
  <c r="H9" i="4"/>
  <c r="M9" i="4" s="1"/>
  <c r="G36" i="4"/>
  <c r="G26" i="4"/>
  <c r="G16" i="4"/>
  <c r="G6" i="4"/>
  <c r="L6" i="4" s="1"/>
  <c r="O6" i="4" s="1"/>
  <c r="H28" i="4"/>
  <c r="M28" i="4" s="1"/>
  <c r="H18" i="4"/>
  <c r="M18" i="4" s="1"/>
  <c r="H8" i="4"/>
  <c r="M8" i="4" s="1"/>
  <c r="G35" i="4"/>
  <c r="G25" i="4"/>
  <c r="G15" i="4"/>
  <c r="H5" i="4"/>
  <c r="M5" i="4" s="1"/>
  <c r="H27" i="4"/>
  <c r="M27" i="4" s="1"/>
  <c r="H17" i="4"/>
  <c r="M17" i="4" s="1"/>
  <c r="H7" i="4"/>
  <c r="M7" i="4" s="1"/>
  <c r="G34" i="4"/>
  <c r="G24" i="4"/>
  <c r="G14" i="4"/>
  <c r="L14" i="4" s="1"/>
  <c r="O14" i="4" s="1"/>
  <c r="H36" i="4"/>
  <c r="M36" i="4" s="1"/>
  <c r="H26" i="4"/>
  <c r="M26" i="4" s="1"/>
  <c r="H16" i="4"/>
  <c r="M16" i="4" s="1"/>
  <c r="L18" i="4"/>
  <c r="L16" i="4"/>
  <c r="O16" i="4" s="1"/>
  <c r="L15" i="4"/>
  <c r="O15" i="4" s="1"/>
  <c r="L13" i="4"/>
  <c r="O13" i="4" s="1"/>
  <c r="L9" i="4"/>
  <c r="O9" i="4" s="1"/>
  <c r="L8" i="4"/>
  <c r="O11" i="4"/>
  <c r="O12" i="4"/>
  <c r="Q12" i="4" l="1"/>
  <c r="R12" i="4" s="1"/>
  <c r="C49" i="4"/>
  <c r="D49" i="4" s="1"/>
  <c r="Q11" i="4"/>
  <c r="R11" i="4" s="1"/>
  <c r="C48" i="4"/>
  <c r="D48" i="4" s="1"/>
  <c r="Q9" i="4"/>
  <c r="R9" i="4" s="1"/>
  <c r="C46" i="4"/>
  <c r="D46" i="4" s="1"/>
  <c r="Q13" i="4"/>
  <c r="R13" i="4" s="1"/>
  <c r="C50" i="4"/>
  <c r="D50" i="4" s="1"/>
  <c r="Q15" i="4"/>
  <c r="R15" i="4" s="1"/>
  <c r="C52" i="4"/>
  <c r="D52" i="4" s="1"/>
  <c r="Q16" i="4"/>
  <c r="R16" i="4" s="1"/>
  <c r="C53" i="4"/>
  <c r="D53" i="4" s="1"/>
  <c r="Q14" i="4"/>
  <c r="R14" i="4" s="1"/>
  <c r="C51" i="4"/>
  <c r="D51" i="4" s="1"/>
  <c r="O18" i="4"/>
  <c r="Q6" i="4"/>
  <c r="R6" i="4" s="1"/>
  <c r="C43" i="4"/>
  <c r="O7" i="4"/>
  <c r="O17" i="4"/>
  <c r="O5" i="4"/>
  <c r="Q10" i="4"/>
  <c r="R10" i="4" s="1"/>
  <c r="C47" i="4"/>
  <c r="D47" i="4" s="1"/>
  <c r="B81" i="4"/>
  <c r="O8" i="4"/>
  <c r="L19" i="4"/>
  <c r="O19" i="4" s="1"/>
  <c r="L21" i="4"/>
  <c r="O21" i="4" s="1"/>
  <c r="L20" i="4"/>
  <c r="O20" i="4" s="1"/>
  <c r="Q20" i="4" l="1"/>
  <c r="R20" i="4" s="1"/>
  <c r="C57" i="4"/>
  <c r="D57" i="4" s="1"/>
  <c r="Q21" i="4"/>
  <c r="R21" i="4" s="1"/>
  <c r="C58" i="4"/>
  <c r="D58" i="4" s="1"/>
  <c r="Q19" i="4"/>
  <c r="R19" i="4" s="1"/>
  <c r="C56" i="4"/>
  <c r="D56" i="4" s="1"/>
  <c r="Q8" i="4"/>
  <c r="R8" i="4" s="1"/>
  <c r="C45" i="4"/>
  <c r="D45" i="4" s="1"/>
  <c r="Q5" i="4"/>
  <c r="R5" i="4" s="1"/>
  <c r="C42" i="4"/>
  <c r="D42" i="4" s="1"/>
  <c r="Q17" i="4"/>
  <c r="R17" i="4" s="1"/>
  <c r="C54" i="4"/>
  <c r="D54" i="4" s="1"/>
  <c r="Q7" i="4"/>
  <c r="R7" i="4" s="1"/>
  <c r="C44" i="4"/>
  <c r="D44" i="4" s="1"/>
  <c r="D43" i="4"/>
  <c r="Q18" i="4"/>
  <c r="R18" i="4" s="1"/>
  <c r="C55" i="4"/>
  <c r="L23" i="4"/>
  <c r="O23" i="4" s="1"/>
  <c r="L24" i="4"/>
  <c r="O24" i="4" s="1"/>
  <c r="L22" i="4"/>
  <c r="O22" i="4" s="1"/>
  <c r="Q22" i="4" l="1"/>
  <c r="R22" i="4" s="1"/>
  <c r="C59" i="4"/>
  <c r="D59" i="4" s="1"/>
  <c r="Q24" i="4"/>
  <c r="R24" i="4" s="1"/>
  <c r="C61" i="4"/>
  <c r="D61" i="4" s="1"/>
  <c r="Q23" i="4"/>
  <c r="R23" i="4" s="1"/>
  <c r="C60" i="4"/>
  <c r="D60" i="4" s="1"/>
  <c r="D55" i="4"/>
  <c r="L25" i="4"/>
  <c r="O25" i="4" s="1"/>
  <c r="L27" i="4"/>
  <c r="O27" i="4" s="1"/>
  <c r="L26" i="4"/>
  <c r="O26" i="4" s="1"/>
  <c r="Q26" i="4" l="1"/>
  <c r="R26" i="4" s="1"/>
  <c r="C63" i="4"/>
  <c r="D63" i="4" s="1"/>
  <c r="Q27" i="4"/>
  <c r="R27" i="4" s="1"/>
  <c r="C64" i="4"/>
  <c r="D64" i="4" s="1"/>
  <c r="Q25" i="4"/>
  <c r="R25" i="4" s="1"/>
  <c r="C62" i="4"/>
  <c r="L29" i="4"/>
  <c r="O29" i="4" s="1"/>
  <c r="L30" i="4"/>
  <c r="O30" i="4" s="1"/>
  <c r="L28" i="4"/>
  <c r="O28" i="4" s="1"/>
  <c r="Q28" i="4" l="1"/>
  <c r="R28" i="4" s="1"/>
  <c r="C65" i="4"/>
  <c r="D65" i="4" s="1"/>
  <c r="Q30" i="4"/>
  <c r="R30" i="4" s="1"/>
  <c r="C67" i="4"/>
  <c r="D67" i="4" s="1"/>
  <c r="Q29" i="4"/>
  <c r="R29" i="4" s="1"/>
  <c r="C66" i="4"/>
  <c r="D66" i="4" s="1"/>
  <c r="D62" i="4"/>
  <c r="L31" i="4"/>
  <c r="O31" i="4" s="1"/>
  <c r="L34" i="4"/>
  <c r="O34" i="4" s="1"/>
  <c r="L36" i="4"/>
  <c r="O36" i="4" s="1"/>
  <c r="L33" i="4"/>
  <c r="O33" i="4" s="1"/>
  <c r="L35" i="4"/>
  <c r="O35" i="4" s="1"/>
  <c r="L32" i="4"/>
  <c r="O32" i="4" s="1"/>
  <c r="Q32" i="4" l="1"/>
  <c r="R32" i="4" s="1"/>
  <c r="C69" i="4"/>
  <c r="D69" i="4" s="1"/>
  <c r="Q35" i="4"/>
  <c r="R35" i="4" s="1"/>
  <c r="C72" i="4"/>
  <c r="D72" i="4" s="1"/>
  <c r="Q33" i="4"/>
  <c r="R33" i="4" s="1"/>
  <c r="C70" i="4"/>
  <c r="D70" i="4" s="1"/>
  <c r="Q36" i="4"/>
  <c r="R36" i="4" s="1"/>
  <c r="C73" i="4"/>
  <c r="D73" i="4" s="1"/>
  <c r="Q34" i="4"/>
  <c r="R34" i="4" s="1"/>
  <c r="C71" i="4"/>
  <c r="D71" i="4" s="1"/>
  <c r="Q31" i="4"/>
  <c r="R31" i="4" s="1"/>
  <c r="C68" i="4"/>
  <c r="D68" i="4" l="1"/>
  <c r="C80" i="4"/>
  <c r="C90" i="4" l="1"/>
  <c r="C91" i="4"/>
  <c r="C89" i="4"/>
  <c r="C81" i="4"/>
  <c r="B85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tc={22014DB4-242B-274F-ACF8-AADC2BADC06A}</author>
  </authors>
  <commentList>
    <comment ref="C34" authorId="0" shapeId="0" xr:uid="{22014DB4-242B-274F-ACF8-AADC2BADC06A}">
      <text>
        <t>[Threaded comment]
Your version of Excel allows you to read this threaded comment; however, any edits to it will get removed if the file is opened in a newer version of Excel. Learn more: https://go.microsoft.com/fwlink/?linkid=870924
Comment:
    In the paper, use EU MRV numbers</t>
      </text>
    </comment>
  </commentList>
</comments>
</file>

<file path=xl/sharedStrings.xml><?xml version="1.0" encoding="utf-8"?>
<sst xmlns="http://schemas.openxmlformats.org/spreadsheetml/2006/main" count="126" uniqueCount="57">
  <si>
    <t>FEUM coverage</t>
  </si>
  <si>
    <t>Year</t>
  </si>
  <si>
    <t>MJConsumed (Global)</t>
  </si>
  <si>
    <t>tCO2e100_RealWorld_WTW (Global)</t>
  </si>
  <si>
    <t>gCO2e100pMJ_RealWorld_WTW_Avg_Op (Global)</t>
  </si>
  <si>
    <t>MJConsumed (FEUM)</t>
  </si>
  <si>
    <t>MJConsumed (ROW)</t>
  </si>
  <si>
    <t>gCO2e100pMJ (FEUM)</t>
  </si>
  <si>
    <t>tCO2e100_WTW (FEUM)</t>
  </si>
  <si>
    <t>tCO2e100_WTW (ROW)</t>
  </si>
  <si>
    <t>tCO2e100_WTW (Global w/ FEUM)</t>
  </si>
  <si>
    <t>Difference (Global - Global w/ FEUM)</t>
  </si>
  <si>
    <t>Difference (% of Global)</t>
  </si>
  <si>
    <t>MtCO2e100_RealWorld_WTW (Global)</t>
  </si>
  <si>
    <t>MtCO2e100_WTW (Global w/ FEUM)</t>
  </si>
  <si>
    <t>Cumulative emissions (GtCO2e100)</t>
  </si>
  <si>
    <t>Counterfactual</t>
  </si>
  <si>
    <t>Baseline</t>
  </si>
  <si>
    <t>2020-2050</t>
  </si>
  <si>
    <t>Cumulative emissions reduction (GtCO2e100) from FEUM</t>
  </si>
  <si>
    <t>Difference</t>
  </si>
  <si>
    <t>Temperature limit</t>
  </si>
  <si>
    <t>CO2e budget (GtCO2e100)</t>
  </si>
  <si>
    <t>Shipping's share</t>
  </si>
  <si>
    <t>Scenario</t>
  </si>
  <si>
    <t>CY</t>
  </si>
  <si>
    <t>MJConsumed_Anchor</t>
  </si>
  <si>
    <t>MJConsumed_Berth</t>
  </si>
  <si>
    <t>MJConsumed_Cruise</t>
  </si>
  <si>
    <t>MJConsumed_Maneuver</t>
  </si>
  <si>
    <t>MJConsumed</t>
  </si>
  <si>
    <t>tCO2e100_RealWorld_TTW</t>
  </si>
  <si>
    <t>tCO2e100_RealWorld_WTW</t>
  </si>
  <si>
    <t>tCO2_CII</t>
  </si>
  <si>
    <t>tCO2_CII_Cruise</t>
  </si>
  <si>
    <t>gCO2e100pMJ_RealWorld_TTW_Avg_Op</t>
  </si>
  <si>
    <t>gCO2e100pMJ_RealWorld_WTW_Avg_Op</t>
  </si>
  <si>
    <t>Baseline_w_3188</t>
  </si>
  <si>
    <t>Baseline_wo_bc</t>
  </si>
  <si>
    <t>Link to regulation</t>
  </si>
  <si>
    <t>Link to ICCT Policy Update</t>
  </si>
  <si>
    <t>Reduction against reference value</t>
  </si>
  <si>
    <t>CO2e100/MJ</t>
  </si>
  <si>
    <t>Coverage</t>
  </si>
  <si>
    <t>Covered CO2 emissions (MtCO2)</t>
  </si>
  <si>
    <t>Global CO2 emissions (MtCO2)</t>
  </si>
  <si>
    <t>Share of coverage</t>
  </si>
  <si>
    <t>Annual emissions (MtCO2e100)</t>
  </si>
  <si>
    <t>Past 2 °C budget?</t>
  </si>
  <si>
    <t>Past 1.7 °C budget?</t>
  </si>
  <si>
    <t>Past 1.5 °C budget?</t>
  </si>
  <si>
    <t>Counterfactual (without FuelEU Maritime)</t>
  </si>
  <si>
    <t>Baseline (with FuelEU Maritime)</t>
  </si>
  <si>
    <t>IMO Minimum</t>
  </si>
  <si>
    <t>IMO Striving</t>
  </si>
  <si>
    <t>1.5 °C</t>
  </si>
  <si>
    <t>Reference value (2019)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</si>
</sst>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0.0%"/>
    <numFmt numFmtId="165" formatCode="_(* #,##0_);_(* \(#,##0\);_(* &quot;-&quot;??_);_(@_)"/>
    <numFmt numFmtId="166" formatCode="_(* #,##0.000_);_(* \(#,##0.000\);_(* &quot;-&quot;??_);_(@_)"/>
    <numFmt numFmtId="167" formatCode="_(* #,##0.0000_);_(* \(#,##0.0000\);_(* &quot;-&quot;??_);_(@_)"/>
  </numFmts>
  <fonts count="19">
    <font>
      <sz val="12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sz val="18"/>
      <color theme="3"/>
      <name val="Arial"/>
      <family val="2"/>
      <scheme val="major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2"/>
      <color rgb="FF006100"/>
      <name val="Arial"/>
      <family val="2"/>
      <scheme val="minor"/>
    </font>
    <font>
      <sz val="12"/>
      <color rgb="FF9C0006"/>
      <name val="Arial"/>
      <family val="2"/>
      <scheme val="minor"/>
    </font>
    <font>
      <sz val="12"/>
      <color rgb="FF9C5700"/>
      <name val="Arial"/>
      <family val="2"/>
      <scheme val="minor"/>
    </font>
    <font>
      <sz val="12"/>
      <color rgb="FF3F3F76"/>
      <name val="Arial"/>
      <family val="2"/>
      <scheme val="minor"/>
    </font>
    <font>
      <b/>
      <sz val="12"/>
      <color rgb="FF3F3F3F"/>
      <name val="Arial"/>
      <family val="2"/>
      <scheme val="minor"/>
    </font>
    <font>
      <b/>
      <sz val="12"/>
      <color rgb="FFFA7D00"/>
      <name val="Arial"/>
      <family val="2"/>
      <scheme val="minor"/>
    </font>
    <font>
      <sz val="12"/>
      <color rgb="FFFA7D00"/>
      <name val="Arial"/>
      <family val="2"/>
      <scheme val="minor"/>
    </font>
    <font>
      <b/>
      <sz val="12"/>
      <color theme="0"/>
      <name val="Arial"/>
      <family val="2"/>
      <scheme val="minor"/>
    </font>
    <font>
      <sz val="12"/>
      <color rgb="FFFF0000"/>
      <name val="Arial"/>
      <family val="2"/>
      <scheme val="minor"/>
    </font>
    <font>
      <i/>
      <sz val="12"/>
      <color rgb="FF7F7F7F"/>
      <name val="Arial"/>
      <family val="2"/>
      <scheme val="minor"/>
    </font>
    <font>
      <b/>
      <sz val="12"/>
      <color theme="1"/>
      <name val="Arial"/>
      <family val="2"/>
      <scheme val="minor"/>
    </font>
    <font>
      <sz val="12"/>
      <color theme="0"/>
      <name val="Arial"/>
      <family val="2"/>
      <scheme val="minor"/>
    </font>
    <font>
      <u/>
      <sz val="12"/>
      <color theme="10"/>
      <name val="Arial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4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58">
    <xf numFmtId="0" fontId="0" fillId="0" borderId="0" xfId="0"/>
    <xf numFmtId="0" fontId="18" fillId="0" borderId="0" xfId="44"/>
    <xf numFmtId="0" fontId="0" fillId="0" borderId="10" xfId="0" applyBorder="1"/>
    <xf numFmtId="2" fontId="0" fillId="0" borderId="10" xfId="0" applyNumberFormat="1" applyBorder="1"/>
    <xf numFmtId="164" fontId="0" fillId="0" borderId="10" xfId="2" applyNumberFormat="1" applyFont="1" applyBorder="1"/>
    <xf numFmtId="165" fontId="0" fillId="0" borderId="0" xfId="1" applyNumberFormat="1" applyFont="1"/>
    <xf numFmtId="164" fontId="0" fillId="0" borderId="0" xfId="2" applyNumberFormat="1" applyFont="1"/>
    <xf numFmtId="0" fontId="0" fillId="0" borderId="11" xfId="0" applyBorder="1"/>
    <xf numFmtId="164" fontId="0" fillId="33" borderId="12" xfId="2" applyNumberFormat="1" applyFont="1" applyFill="1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165" fontId="0" fillId="33" borderId="0" xfId="1" applyNumberFormat="1" applyFont="1" applyFill="1" applyBorder="1"/>
    <xf numFmtId="43" fontId="0" fillId="33" borderId="17" xfId="1" applyFont="1" applyFill="1" applyBorder="1"/>
    <xf numFmtId="0" fontId="0" fillId="0" borderId="18" xfId="0" applyBorder="1"/>
    <xf numFmtId="165" fontId="0" fillId="33" borderId="19" xfId="1" applyNumberFormat="1" applyFont="1" applyFill="1" applyBorder="1"/>
    <xf numFmtId="43" fontId="0" fillId="33" borderId="20" xfId="1" applyFont="1" applyFill="1" applyBorder="1"/>
    <xf numFmtId="165" fontId="0" fillId="0" borderId="16" xfId="1" applyNumberFormat="1" applyFont="1" applyBorder="1"/>
    <xf numFmtId="165" fontId="0" fillId="0" borderId="17" xfId="1" applyNumberFormat="1" applyFont="1" applyBorder="1"/>
    <xf numFmtId="165" fontId="0" fillId="0" borderId="18" xfId="1" applyNumberFormat="1" applyFont="1" applyBorder="1"/>
    <xf numFmtId="165" fontId="0" fillId="0" borderId="20" xfId="1" applyNumberFormat="1" applyFont="1" applyBorder="1"/>
    <xf numFmtId="43" fontId="0" fillId="0" borderId="21" xfId="1" applyFont="1" applyBorder="1"/>
    <xf numFmtId="43" fontId="0" fillId="33" borderId="21" xfId="1" applyFont="1" applyFill="1" applyBorder="1"/>
    <xf numFmtId="43" fontId="0" fillId="33" borderId="12" xfId="1" applyFont="1" applyFill="1" applyBorder="1"/>
    <xf numFmtId="165" fontId="0" fillId="0" borderId="21" xfId="0" applyNumberFormat="1" applyBorder="1"/>
    <xf numFmtId="165" fontId="0" fillId="0" borderId="12" xfId="0" applyNumberFormat="1" applyBorder="1"/>
    <xf numFmtId="165" fontId="0" fillId="0" borderId="0" xfId="0" applyNumberFormat="1"/>
    <xf numFmtId="165" fontId="0" fillId="0" borderId="17" xfId="0" applyNumberFormat="1" applyBorder="1"/>
    <xf numFmtId="165" fontId="0" fillId="0" borderId="19" xfId="0" applyNumberFormat="1" applyBorder="1"/>
    <xf numFmtId="165" fontId="0" fillId="0" borderId="20" xfId="0" applyNumberFormat="1" applyBorder="1"/>
    <xf numFmtId="165" fontId="0" fillId="0" borderId="16" xfId="0" applyNumberFormat="1" applyBorder="1"/>
    <xf numFmtId="10" fontId="0" fillId="0" borderId="17" xfId="2" applyNumberFormat="1" applyFont="1" applyBorder="1"/>
    <xf numFmtId="165" fontId="0" fillId="0" borderId="18" xfId="0" applyNumberFormat="1" applyBorder="1"/>
    <xf numFmtId="10" fontId="0" fillId="0" borderId="20" xfId="2" applyNumberFormat="1" applyFont="1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9" fontId="0" fillId="0" borderId="0" xfId="2" applyFont="1"/>
    <xf numFmtId="165" fontId="0" fillId="0" borderId="0" xfId="1" applyNumberFormat="1" applyFont="1" applyBorder="1"/>
    <xf numFmtId="165" fontId="0" fillId="0" borderId="10" xfId="1" applyNumberFormat="1" applyFont="1" applyBorder="1"/>
    <xf numFmtId="0" fontId="0" fillId="0" borderId="28" xfId="0" applyBorder="1"/>
    <xf numFmtId="165" fontId="0" fillId="0" borderId="29" xfId="1" applyNumberFormat="1" applyFont="1" applyBorder="1"/>
    <xf numFmtId="165" fontId="0" fillId="0" borderId="26" xfId="1" applyNumberFormat="1" applyFont="1" applyBorder="1"/>
    <xf numFmtId="165" fontId="0" fillId="0" borderId="27" xfId="1" applyNumberFormat="1" applyFont="1" applyBorder="1"/>
    <xf numFmtId="0" fontId="0" fillId="0" borderId="30" xfId="0" applyBorder="1"/>
    <xf numFmtId="166" fontId="0" fillId="0" borderId="26" xfId="1" applyNumberFormat="1" applyFont="1" applyBorder="1"/>
    <xf numFmtId="166" fontId="0" fillId="0" borderId="27" xfId="1" applyNumberFormat="1" applyFont="1" applyBorder="1"/>
    <xf numFmtId="0" fontId="0" fillId="34" borderId="0" xfId="0" applyFill="1"/>
    <xf numFmtId="0" fontId="0" fillId="34" borderId="28" xfId="0" applyFill="1" applyBorder="1"/>
    <xf numFmtId="165" fontId="0" fillId="34" borderId="10" xfId="1" applyNumberFormat="1" applyFont="1" applyFill="1" applyBorder="1"/>
    <xf numFmtId="165" fontId="0" fillId="34" borderId="29" xfId="1" applyNumberFormat="1" applyFont="1" applyFill="1" applyBorder="1"/>
    <xf numFmtId="165" fontId="0" fillId="34" borderId="0" xfId="1" applyNumberFormat="1" applyFont="1" applyFill="1" applyBorder="1"/>
    <xf numFmtId="164" fontId="0" fillId="0" borderId="0" xfId="2" applyNumberFormat="1" applyFont="1" applyFill="1" applyBorder="1"/>
    <xf numFmtId="43" fontId="0" fillId="0" borderId="0" xfId="1" applyFont="1"/>
    <xf numFmtId="43" fontId="0" fillId="0" borderId="0" xfId="2" applyNumberFormat="1" applyFont="1"/>
    <xf numFmtId="167" fontId="0" fillId="0" borderId="0" xfId="1" applyNumberFormat="1" applyFont="1"/>
  </cellXfs>
  <cellStyles count="45">
    <cellStyle name="20% - Accent1" xfId="21" builtinId="30" customBuiltin="1"/>
    <cellStyle name="20% - Accent2" xfId="25" builtinId="34" customBuiltin="1"/>
    <cellStyle name="20% - Accent3" xfId="29" builtinId="38" customBuiltin="1"/>
    <cellStyle name="20% - Accent4" xfId="33" builtinId="42" customBuiltin="1"/>
    <cellStyle name="20% - Accent5" xfId="37" builtinId="46" customBuiltin="1"/>
    <cellStyle name="20% - Accent6" xfId="41" builtinId="50" customBuiltin="1"/>
    <cellStyle name="40% - Accent1" xfId="22" builtinId="31" customBuiltin="1"/>
    <cellStyle name="40% - Accent2" xfId="26" builtinId="35" customBuiltin="1"/>
    <cellStyle name="40% - Accent3" xfId="30" builtinId="39" customBuiltin="1"/>
    <cellStyle name="40% - Accent4" xfId="34" builtinId="43" customBuiltin="1"/>
    <cellStyle name="40% - Accent5" xfId="38" builtinId="47" customBuiltin="1"/>
    <cellStyle name="40% - Accent6" xfId="42" builtinId="51" customBuiltin="1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8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4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te" xfId="17" builtinId="10" customBuiltin="1"/>
    <cellStyle name="Output" xfId="12" builtinId="21" customBuiltin="1"/>
    <cellStyle name="Percent" xfId="2" builtinId="5"/>
    <cellStyle name="Title" xfId="3" builtinId="15" customBuiltin="1"/>
    <cellStyle name="Total" xfId="19" builtinId="25" customBuiltin="1"/>
    <cellStyle name="Warning Text" xfId="16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WTW CO2e100 emissions (Mt) with</a:t>
            </a:r>
            <a:r>
              <a:rPr lang="en-US" baseline="0"/>
              <a:t> and without FEUM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account_for_FEUM!$B$41</c:f>
              <c:strCache>
                <c:ptCount val="1"/>
                <c:pt idx="0">
                  <c:v>MtCO2e100_RealWorld_WTW (Global)</c:v>
                </c:pt>
              </c:strCache>
            </c:strRef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account_for_FEUM!$A$42:$A$73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account_for_FEUM!$B$42:$B$73</c:f>
              <c:numCache>
                <c:formatCode>_(* #,##0_);_(* \(#,##0\);_(* "-"??_);_(@_)</c:formatCode>
                <c:ptCount val="32"/>
                <c:pt idx="0">
                  <c:v>899.24174113805407</c:v>
                </c:pt>
                <c:pt idx="1">
                  <c:v>929.75209353054299</c:v>
                </c:pt>
                <c:pt idx="2">
                  <c:v>947.15979487435106</c:v>
                </c:pt>
                <c:pt idx="3">
                  <c:v>956.25024908079695</c:v>
                </c:pt>
                <c:pt idx="4">
                  <c:v>928.04271905604196</c:v>
                </c:pt>
                <c:pt idx="5">
                  <c:v>938.70882135877503</c:v>
                </c:pt>
                <c:pt idx="6">
                  <c:v>955.05199647311201</c:v>
                </c:pt>
                <c:pt idx="7">
                  <c:v>969.76259823479609</c:v>
                </c:pt>
                <c:pt idx="8">
                  <c:v>983.83351090877102</c:v>
                </c:pt>
                <c:pt idx="9">
                  <c:v>994.7777264565409</c:v>
                </c:pt>
                <c:pt idx="10">
                  <c:v>1007.50599223301</c:v>
                </c:pt>
                <c:pt idx="11">
                  <c:v>1019.6611500241199</c:v>
                </c:pt>
                <c:pt idx="12">
                  <c:v>1029.52957167053</c:v>
                </c:pt>
                <c:pt idx="13">
                  <c:v>1038.4371569274799</c:v>
                </c:pt>
                <c:pt idx="14">
                  <c:v>1048.08384330904</c:v>
                </c:pt>
                <c:pt idx="15">
                  <c:v>1059.2752274065799</c:v>
                </c:pt>
                <c:pt idx="16">
                  <c:v>1067.90223658127</c:v>
                </c:pt>
                <c:pt idx="17">
                  <c:v>1078.1710748928199</c:v>
                </c:pt>
                <c:pt idx="18">
                  <c:v>1088.1483735100001</c:v>
                </c:pt>
                <c:pt idx="19">
                  <c:v>1099.4144083077499</c:v>
                </c:pt>
                <c:pt idx="20">
                  <c:v>1108.9769404568301</c:v>
                </c:pt>
                <c:pt idx="21">
                  <c:v>1119.6821624551799</c:v>
                </c:pt>
                <c:pt idx="22">
                  <c:v>1128.50779805296</c:v>
                </c:pt>
                <c:pt idx="23">
                  <c:v>1138.7531315567001</c:v>
                </c:pt>
                <c:pt idx="24">
                  <c:v>1145.51347087261</c:v>
                </c:pt>
                <c:pt idx="25">
                  <c:v>1154.8753411359201</c:v>
                </c:pt>
                <c:pt idx="26">
                  <c:v>1165.8395187420199</c:v>
                </c:pt>
                <c:pt idx="27">
                  <c:v>1176.2457499218099</c:v>
                </c:pt>
                <c:pt idx="28">
                  <c:v>1184.8997111759199</c:v>
                </c:pt>
                <c:pt idx="29">
                  <c:v>1194.6277103022298</c:v>
                </c:pt>
                <c:pt idx="30">
                  <c:v>1205.2513392380899</c:v>
                </c:pt>
                <c:pt idx="31">
                  <c:v>1215.2475336187301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F21-6B4A-BE34-5B6619C50AFE}"/>
            </c:ext>
          </c:extLst>
        </c:ser>
        <c:ser>
          <c:idx val="1"/>
          <c:order val="1"/>
          <c:tx>
            <c:strRef>
              <c:f>account_for_FEUM!$C$41</c:f>
              <c:strCache>
                <c:ptCount val="1"/>
                <c:pt idx="0">
                  <c:v>MtCO2e100_WTW (Global w/ FEUM)</c:v>
                </c:pt>
              </c:strCache>
            </c:strRef>
          </c:tx>
          <c:spPr>
            <a:ln w="3810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account_for_FEUM!$A$42:$A$73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account_for_FEUM!$C$42:$C$73</c:f>
              <c:numCache>
                <c:formatCode>_(* #,##0_);_(* \(#,##0\);_(* "-"??_);_(@_)</c:formatCode>
                <c:ptCount val="32"/>
                <c:pt idx="0">
                  <c:v>899.24174113805407</c:v>
                </c:pt>
                <c:pt idx="1">
                  <c:v>929.75209353053674</c:v>
                </c:pt>
                <c:pt idx="2">
                  <c:v>947.15979487434493</c:v>
                </c:pt>
                <c:pt idx="3">
                  <c:v>956.2502490807907</c:v>
                </c:pt>
                <c:pt idx="4">
                  <c:v>928.04271905603889</c:v>
                </c:pt>
                <c:pt idx="5">
                  <c:v>938.70882135877264</c:v>
                </c:pt>
                <c:pt idx="6">
                  <c:v>954.41741851739289</c:v>
                </c:pt>
                <c:pt idx="7">
                  <c:v>969.10561127216374</c:v>
                </c:pt>
                <c:pt idx="8">
                  <c:v>983.15016309324756</c:v>
                </c:pt>
                <c:pt idx="9">
                  <c:v>994.07419592706697</c:v>
                </c:pt>
                <c:pt idx="10">
                  <c:v>1006.7814435991753</c:v>
                </c:pt>
                <c:pt idx="11">
                  <c:v>1015.069760718669</c:v>
                </c:pt>
                <c:pt idx="12">
                  <c:v>1024.8805526377248</c:v>
                </c:pt>
                <c:pt idx="13">
                  <c:v>1033.7297923980582</c:v>
                </c:pt>
                <c:pt idx="14">
                  <c:v>1043.3182229429351</c:v>
                </c:pt>
                <c:pt idx="15">
                  <c:v>1054.4445883945332</c:v>
                </c:pt>
                <c:pt idx="16">
                  <c:v>1054.4758927005835</c:v>
                </c:pt>
                <c:pt idx="17">
                  <c:v>1064.6081881962327</c:v>
                </c:pt>
                <c:pt idx="18">
                  <c:v>1074.4474881813164</c:v>
                </c:pt>
                <c:pt idx="19">
                  <c:v>1085.5620471488853</c:v>
                </c:pt>
                <c:pt idx="20">
                  <c:v>1094.9977612348709</c:v>
                </c:pt>
                <c:pt idx="21">
                  <c:v>1088.1956974809721</c:v>
                </c:pt>
                <c:pt idx="22">
                  <c:v>1096.7686995977892</c:v>
                </c:pt>
                <c:pt idx="23">
                  <c:v>1106.7193742432096</c:v>
                </c:pt>
                <c:pt idx="24">
                  <c:v>1113.287591942377</c:v>
                </c:pt>
                <c:pt idx="25">
                  <c:v>1122.3810261118811</c:v>
                </c:pt>
                <c:pt idx="26">
                  <c:v>1099.0573922490391</c:v>
                </c:pt>
                <c:pt idx="27">
                  <c:v>1108.86637640308</c:v>
                </c:pt>
                <c:pt idx="28">
                  <c:v>1117.018767682034</c:v>
                </c:pt>
                <c:pt idx="29">
                  <c:v>1126.1862235637841</c:v>
                </c:pt>
                <c:pt idx="30">
                  <c:v>1136.196874249084</c:v>
                </c:pt>
                <c:pt idx="31">
                  <c:v>1125.0623264174194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F21-6B4A-BE34-5B6619C50A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7493087"/>
        <c:axId val="447576447"/>
      </c:lineChart>
      <c:catAx>
        <c:axId val="44749308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7576447"/>
        <c:crosses val="autoZero"/>
        <c:auto val="1"/>
        <c:lblAlgn val="ctr"/>
        <c:lblOffset val="100"/>
        <c:noMultiLvlLbl val="0"/>
      </c:catAx>
      <c:valAx>
        <c:axId val="447576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74930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5323977806904299E-2"/>
          <c:y val="2.8169014084507043E-2"/>
          <c:w val="0.80284775260414099"/>
          <c:h val="0.91049899827610303"/>
        </c:manualLayout>
      </c:layout>
      <c:lineChart>
        <c:grouping val="standard"/>
        <c:varyColors val="0"/>
        <c:ser>
          <c:idx val="0"/>
          <c:order val="0"/>
          <c:tx>
            <c:strRef>
              <c:f>annual_emissions!$B$2</c:f>
              <c:strCache>
                <c:ptCount val="1"/>
                <c:pt idx="0">
                  <c:v>Counterfactual (without FuelEU Maritime)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annual_emissions!$A$3:$A$34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annual_emissions!$B$3:$B$34</c:f>
              <c:numCache>
                <c:formatCode>_(* #,##0_);_(* \(#,##0\);_(* "-"??_);_(@_)</c:formatCode>
                <c:ptCount val="32"/>
                <c:pt idx="0">
                  <c:v>899.24174113805407</c:v>
                </c:pt>
                <c:pt idx="1">
                  <c:v>929.75209353054299</c:v>
                </c:pt>
                <c:pt idx="2">
                  <c:v>947.15979487435106</c:v>
                </c:pt>
                <c:pt idx="3">
                  <c:v>956.25024908079695</c:v>
                </c:pt>
                <c:pt idx="4">
                  <c:v>928.04271905604196</c:v>
                </c:pt>
                <c:pt idx="5">
                  <c:v>938.70882135877503</c:v>
                </c:pt>
                <c:pt idx="6">
                  <c:v>955.05199647311201</c:v>
                </c:pt>
                <c:pt idx="7">
                  <c:v>969.76259823479609</c:v>
                </c:pt>
                <c:pt idx="8">
                  <c:v>983.83351090877102</c:v>
                </c:pt>
                <c:pt idx="9">
                  <c:v>994.7777264565409</c:v>
                </c:pt>
                <c:pt idx="10">
                  <c:v>1007.50599223301</c:v>
                </c:pt>
                <c:pt idx="11">
                  <c:v>1019.6611500241199</c:v>
                </c:pt>
                <c:pt idx="12">
                  <c:v>1029.52957167053</c:v>
                </c:pt>
                <c:pt idx="13">
                  <c:v>1038.4371569274799</c:v>
                </c:pt>
                <c:pt idx="14">
                  <c:v>1048.08384330904</c:v>
                </c:pt>
                <c:pt idx="15">
                  <c:v>1059.2752274065799</c:v>
                </c:pt>
                <c:pt idx="16">
                  <c:v>1067.90223658127</c:v>
                </c:pt>
                <c:pt idx="17">
                  <c:v>1078.1710748928199</c:v>
                </c:pt>
                <c:pt idx="18">
                  <c:v>1088.1483735100001</c:v>
                </c:pt>
                <c:pt idx="19">
                  <c:v>1099.4144083077499</c:v>
                </c:pt>
                <c:pt idx="20">
                  <c:v>1108.9769404568301</c:v>
                </c:pt>
                <c:pt idx="21">
                  <c:v>1119.6821624551799</c:v>
                </c:pt>
                <c:pt idx="22">
                  <c:v>1128.50779805296</c:v>
                </c:pt>
                <c:pt idx="23">
                  <c:v>1138.7531315567001</c:v>
                </c:pt>
                <c:pt idx="24">
                  <c:v>1145.51347087261</c:v>
                </c:pt>
                <c:pt idx="25">
                  <c:v>1154.8753411359201</c:v>
                </c:pt>
                <c:pt idx="26">
                  <c:v>1165.8395187420199</c:v>
                </c:pt>
                <c:pt idx="27">
                  <c:v>1176.2457499218099</c:v>
                </c:pt>
                <c:pt idx="28">
                  <c:v>1184.8997111759199</c:v>
                </c:pt>
                <c:pt idx="29">
                  <c:v>1194.6277103022298</c:v>
                </c:pt>
                <c:pt idx="30">
                  <c:v>1205.2513392380899</c:v>
                </c:pt>
                <c:pt idx="31">
                  <c:v>1215.2475336187301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E8-7B46-8F8A-2AEF11174462}"/>
            </c:ext>
          </c:extLst>
        </c:ser>
        <c:ser>
          <c:idx val="1"/>
          <c:order val="1"/>
          <c:tx>
            <c:strRef>
              <c:f>annual_emissions!$C$2</c:f>
              <c:strCache>
                <c:ptCount val="1"/>
                <c:pt idx="0">
                  <c:v>Baseline (with FuelEU Maritime)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annual_emissions!$A$3:$A$34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annual_emissions!$C$3:$C$34</c:f>
              <c:numCache>
                <c:formatCode>_(* #,##0_);_(* \(#,##0\);_(* "-"??_);_(@_)</c:formatCode>
                <c:ptCount val="32"/>
                <c:pt idx="0">
                  <c:v>899.24174113805407</c:v>
                </c:pt>
                <c:pt idx="1">
                  <c:v>929.75209353053674</c:v>
                </c:pt>
                <c:pt idx="2">
                  <c:v>947.15979487434493</c:v>
                </c:pt>
                <c:pt idx="3">
                  <c:v>956.2502490807907</c:v>
                </c:pt>
                <c:pt idx="4">
                  <c:v>928.04271905603889</c:v>
                </c:pt>
                <c:pt idx="5">
                  <c:v>938.70882135877264</c:v>
                </c:pt>
                <c:pt idx="6">
                  <c:v>954.41741851739289</c:v>
                </c:pt>
                <c:pt idx="7">
                  <c:v>969.10561127216374</c:v>
                </c:pt>
                <c:pt idx="8">
                  <c:v>983.15016309324756</c:v>
                </c:pt>
                <c:pt idx="9">
                  <c:v>994.07419592706697</c:v>
                </c:pt>
                <c:pt idx="10">
                  <c:v>1006.7814435991753</c:v>
                </c:pt>
                <c:pt idx="11">
                  <c:v>1015.069760718669</c:v>
                </c:pt>
                <c:pt idx="12">
                  <c:v>1024.8805526377248</c:v>
                </c:pt>
                <c:pt idx="13">
                  <c:v>1033.7297923980582</c:v>
                </c:pt>
                <c:pt idx="14">
                  <c:v>1043.3182229429351</c:v>
                </c:pt>
                <c:pt idx="15">
                  <c:v>1054.4445883945332</c:v>
                </c:pt>
                <c:pt idx="16">
                  <c:v>1054.4758927005835</c:v>
                </c:pt>
                <c:pt idx="17">
                  <c:v>1064.6081881962327</c:v>
                </c:pt>
                <c:pt idx="18">
                  <c:v>1074.4474881813164</c:v>
                </c:pt>
                <c:pt idx="19">
                  <c:v>1085.5620471488853</c:v>
                </c:pt>
                <c:pt idx="20">
                  <c:v>1094.9977612348709</c:v>
                </c:pt>
                <c:pt idx="21">
                  <c:v>1088.1956974809721</c:v>
                </c:pt>
                <c:pt idx="22">
                  <c:v>1096.7686995977892</c:v>
                </c:pt>
                <c:pt idx="23">
                  <c:v>1106.7193742432096</c:v>
                </c:pt>
                <c:pt idx="24">
                  <c:v>1113.287591942377</c:v>
                </c:pt>
                <c:pt idx="25">
                  <c:v>1122.3810261118811</c:v>
                </c:pt>
                <c:pt idx="26">
                  <c:v>1099.0573922490391</c:v>
                </c:pt>
                <c:pt idx="27">
                  <c:v>1108.86637640308</c:v>
                </c:pt>
                <c:pt idx="28">
                  <c:v>1117.018767682034</c:v>
                </c:pt>
                <c:pt idx="29">
                  <c:v>1126.1862235637841</c:v>
                </c:pt>
                <c:pt idx="30">
                  <c:v>1136.196874249084</c:v>
                </c:pt>
                <c:pt idx="31">
                  <c:v>1125.0623264174194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EE8-7B46-8F8A-2AEF11174462}"/>
            </c:ext>
          </c:extLst>
        </c:ser>
        <c:ser>
          <c:idx val="2"/>
          <c:order val="2"/>
          <c:tx>
            <c:strRef>
              <c:f>annual_emissions!$D$2</c:f>
              <c:strCache>
                <c:ptCount val="1"/>
                <c:pt idx="0">
                  <c:v>IMO Minimum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annual_emissions!$A$3:$A$34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annual_emissions!$D$3:$D$34</c:f>
              <c:numCache>
                <c:formatCode>_(* #,##0_);_(* \(#,##0\);_(* "-"??_);_(@_)</c:formatCode>
                <c:ptCount val="32"/>
                <c:pt idx="0">
                  <c:v>899.24174113805407</c:v>
                </c:pt>
                <c:pt idx="1">
                  <c:v>930</c:v>
                </c:pt>
                <c:pt idx="2">
                  <c:v>947</c:v>
                </c:pt>
                <c:pt idx="3">
                  <c:v>956</c:v>
                </c:pt>
                <c:pt idx="4">
                  <c:v>928</c:v>
                </c:pt>
                <c:pt idx="5">
                  <c:v>939</c:v>
                </c:pt>
                <c:pt idx="6">
                  <c:v>954</c:v>
                </c:pt>
                <c:pt idx="7">
                  <c:v>969</c:v>
                </c:pt>
                <c:pt idx="8">
                  <c:v>907.70999999999185</c:v>
                </c:pt>
                <c:pt idx="9">
                  <c:v>846.41999999999825</c:v>
                </c:pt>
                <c:pt idx="10">
                  <c:v>785.1299999999901</c:v>
                </c:pt>
                <c:pt idx="11">
                  <c:v>723.84</c:v>
                </c:pt>
                <c:pt idx="12">
                  <c:v>678.59999999999127</c:v>
                </c:pt>
                <c:pt idx="13">
                  <c:v>633.35999999998603</c:v>
                </c:pt>
                <c:pt idx="14">
                  <c:v>588.11999999999534</c:v>
                </c:pt>
                <c:pt idx="15">
                  <c:v>542.8799999999901</c:v>
                </c:pt>
                <c:pt idx="16">
                  <c:v>497.63999999998487</c:v>
                </c:pt>
                <c:pt idx="17">
                  <c:v>452.39999999999418</c:v>
                </c:pt>
                <c:pt idx="18">
                  <c:v>407.15999999998894</c:v>
                </c:pt>
                <c:pt idx="19">
                  <c:v>361.9199999999837</c:v>
                </c:pt>
                <c:pt idx="20">
                  <c:v>316.67999999999302</c:v>
                </c:pt>
                <c:pt idx="21">
                  <c:v>271.44</c:v>
                </c:pt>
                <c:pt idx="22">
                  <c:v>244.2960000000021</c:v>
                </c:pt>
                <c:pt idx="23">
                  <c:v>217.15200000000186</c:v>
                </c:pt>
                <c:pt idx="24">
                  <c:v>190.00800000000163</c:v>
                </c:pt>
                <c:pt idx="25">
                  <c:v>162.8640000000014</c:v>
                </c:pt>
                <c:pt idx="26">
                  <c:v>135.72000000000116</c:v>
                </c:pt>
                <c:pt idx="27">
                  <c:v>108.57600000000093</c:v>
                </c:pt>
                <c:pt idx="28">
                  <c:v>81.432000000000698</c:v>
                </c:pt>
                <c:pt idx="29">
                  <c:v>54.288000000000466</c:v>
                </c:pt>
                <c:pt idx="30">
                  <c:v>27.144000000000233</c:v>
                </c:pt>
                <c:pt idx="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EE8-7B46-8F8A-2AEF11174462}"/>
            </c:ext>
          </c:extLst>
        </c:ser>
        <c:ser>
          <c:idx val="3"/>
          <c:order val="3"/>
          <c:tx>
            <c:strRef>
              <c:f>annual_emissions!$E$2</c:f>
              <c:strCache>
                <c:ptCount val="1"/>
                <c:pt idx="0">
                  <c:v>IMO Striving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annual_emissions!$A$3:$A$34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annual_emissions!$E$3:$E$34</c:f>
              <c:numCache>
                <c:formatCode>_(* #,##0_);_(* \(#,##0\);_(* "-"??_);_(@_)</c:formatCode>
                <c:ptCount val="32"/>
                <c:pt idx="0">
                  <c:v>899.24174113805407</c:v>
                </c:pt>
                <c:pt idx="1">
                  <c:v>930</c:v>
                </c:pt>
                <c:pt idx="2">
                  <c:v>947</c:v>
                </c:pt>
                <c:pt idx="3">
                  <c:v>956</c:v>
                </c:pt>
                <c:pt idx="4">
                  <c:v>928</c:v>
                </c:pt>
                <c:pt idx="5">
                  <c:v>939</c:v>
                </c:pt>
                <c:pt idx="6">
                  <c:v>954</c:v>
                </c:pt>
                <c:pt idx="7">
                  <c:v>969</c:v>
                </c:pt>
                <c:pt idx="8">
                  <c:v>885.0899999999674</c:v>
                </c:pt>
                <c:pt idx="9">
                  <c:v>801.17999999999302</c:v>
                </c:pt>
                <c:pt idx="10">
                  <c:v>717.26999999998952</c:v>
                </c:pt>
                <c:pt idx="11">
                  <c:v>633.3599999999999</c:v>
                </c:pt>
                <c:pt idx="12">
                  <c:v>588.11999999999534</c:v>
                </c:pt>
                <c:pt idx="13">
                  <c:v>542.8799999999901</c:v>
                </c:pt>
                <c:pt idx="14">
                  <c:v>497.63999999999942</c:v>
                </c:pt>
                <c:pt idx="15">
                  <c:v>452.39999999999418</c:v>
                </c:pt>
                <c:pt idx="16">
                  <c:v>407.15999999998894</c:v>
                </c:pt>
                <c:pt idx="17">
                  <c:v>361.91999999999825</c:v>
                </c:pt>
                <c:pt idx="18">
                  <c:v>316.67999999999302</c:v>
                </c:pt>
                <c:pt idx="19">
                  <c:v>271.43999999998778</c:v>
                </c:pt>
                <c:pt idx="20">
                  <c:v>226.19999999999709</c:v>
                </c:pt>
                <c:pt idx="21">
                  <c:v>180.96</c:v>
                </c:pt>
                <c:pt idx="22">
                  <c:v>162.8640000000014</c:v>
                </c:pt>
                <c:pt idx="23">
                  <c:v>144.76800000000367</c:v>
                </c:pt>
                <c:pt idx="24">
                  <c:v>126.67200000000594</c:v>
                </c:pt>
                <c:pt idx="25">
                  <c:v>108.57600000000093</c:v>
                </c:pt>
                <c:pt idx="26">
                  <c:v>90.480000000003201</c:v>
                </c:pt>
                <c:pt idx="27">
                  <c:v>72.384000000005472</c:v>
                </c:pt>
                <c:pt idx="28">
                  <c:v>54.288000000000466</c:v>
                </c:pt>
                <c:pt idx="29">
                  <c:v>36.192000000002736</c:v>
                </c:pt>
                <c:pt idx="30">
                  <c:v>18.096000000005006</c:v>
                </c:pt>
                <c:pt idx="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EE8-7B46-8F8A-2AEF11174462}"/>
            </c:ext>
          </c:extLst>
        </c:ser>
        <c:ser>
          <c:idx val="4"/>
          <c:order val="4"/>
          <c:tx>
            <c:strRef>
              <c:f>annual_emissions!$F$2</c:f>
              <c:strCache>
                <c:ptCount val="1"/>
                <c:pt idx="0">
                  <c:v>1.5 °C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annual_emissions!$A$3:$A$34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annual_emissions!$F$3:$F$34</c:f>
              <c:numCache>
                <c:formatCode>_(* #,##0_);_(* \(#,##0\);_(* "-"??_);_(@_)</c:formatCode>
                <c:ptCount val="32"/>
                <c:pt idx="0">
                  <c:v>899.24174113805407</c:v>
                </c:pt>
                <c:pt idx="1">
                  <c:v>930</c:v>
                </c:pt>
                <c:pt idx="2">
                  <c:v>947</c:v>
                </c:pt>
                <c:pt idx="3">
                  <c:v>956</c:v>
                </c:pt>
                <c:pt idx="4">
                  <c:v>928</c:v>
                </c:pt>
                <c:pt idx="5">
                  <c:v>939</c:v>
                </c:pt>
                <c:pt idx="6">
                  <c:v>954</c:v>
                </c:pt>
                <c:pt idx="7">
                  <c:v>969</c:v>
                </c:pt>
                <c:pt idx="8">
                  <c:v>881.79582249088821</c:v>
                </c:pt>
                <c:pt idx="9">
                  <c:v>746.1968169001143</c:v>
                </c:pt>
                <c:pt idx="10">
                  <c:v>583.85577202742354</c:v>
                </c:pt>
                <c:pt idx="11">
                  <c:v>419.5938361174554</c:v>
                </c:pt>
                <c:pt idx="12">
                  <c:v>274.78281601194328</c:v>
                </c:pt>
                <c:pt idx="13">
                  <c:v>162.42305866849304</c:v>
                </c:pt>
                <c:pt idx="14">
                  <c:v>85.647977481052379</c:v>
                </c:pt>
                <c:pt idx="15">
                  <c:v>39.700593381841472</c:v>
                </c:pt>
                <c:pt idx="16">
                  <c:v>15.870320145509265</c:v>
                </c:pt>
                <c:pt idx="17">
                  <c:v>5.3319232725349526</c:v>
                </c:pt>
                <c:pt idx="18">
                  <c:v>1.4512761893265254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EE8-7B46-8F8A-2AEF11174462}"/>
            </c:ext>
          </c:extLst>
        </c:ser>
        <c:ser>
          <c:idx val="5"/>
          <c:order val="5"/>
          <c:tx>
            <c:strRef>
              <c:f>annual_emissions!$G$2</c:f>
              <c:strCache>
                <c:ptCount val="1"/>
                <c:pt idx="0">
                  <c:v>Reference value (2019)</c:v>
                </c:pt>
              </c:strCache>
            </c:strRef>
          </c:tx>
          <c:spPr>
            <a:ln w="25400" cap="rnd">
              <a:solidFill>
                <a:schemeClr val="tx1"/>
              </a:solidFill>
              <a:prstDash val="sysDot"/>
              <a:round/>
            </a:ln>
            <a:effectLst/>
          </c:spPr>
          <c:marker>
            <c:symbol val="none"/>
          </c:marker>
          <c:val>
            <c:numRef>
              <c:f>annual_emissions!$G$3:$G$34</c:f>
              <c:numCache>
                <c:formatCode>_(* #,##0_);_(* \(#,##0\);_(* "-"??_);_(@_)</c:formatCode>
                <c:ptCount val="32"/>
                <c:pt idx="0">
                  <c:v>899</c:v>
                </c:pt>
                <c:pt idx="1">
                  <c:v>899</c:v>
                </c:pt>
                <c:pt idx="2">
                  <c:v>899</c:v>
                </c:pt>
                <c:pt idx="3">
                  <c:v>899</c:v>
                </c:pt>
                <c:pt idx="4">
                  <c:v>899</c:v>
                </c:pt>
                <c:pt idx="5">
                  <c:v>899</c:v>
                </c:pt>
                <c:pt idx="6">
                  <c:v>899</c:v>
                </c:pt>
                <c:pt idx="7">
                  <c:v>899</c:v>
                </c:pt>
                <c:pt idx="8">
                  <c:v>899</c:v>
                </c:pt>
                <c:pt idx="9">
                  <c:v>899</c:v>
                </c:pt>
                <c:pt idx="10">
                  <c:v>899</c:v>
                </c:pt>
                <c:pt idx="11">
                  <c:v>899</c:v>
                </c:pt>
                <c:pt idx="12">
                  <c:v>899</c:v>
                </c:pt>
                <c:pt idx="13">
                  <c:v>899</c:v>
                </c:pt>
                <c:pt idx="14">
                  <c:v>899</c:v>
                </c:pt>
                <c:pt idx="15">
                  <c:v>899</c:v>
                </c:pt>
                <c:pt idx="16">
                  <c:v>899</c:v>
                </c:pt>
                <c:pt idx="17">
                  <c:v>899</c:v>
                </c:pt>
                <c:pt idx="18">
                  <c:v>899</c:v>
                </c:pt>
                <c:pt idx="19">
                  <c:v>899</c:v>
                </c:pt>
                <c:pt idx="20">
                  <c:v>899</c:v>
                </c:pt>
                <c:pt idx="21">
                  <c:v>899</c:v>
                </c:pt>
                <c:pt idx="22">
                  <c:v>899</c:v>
                </c:pt>
                <c:pt idx="23">
                  <c:v>899</c:v>
                </c:pt>
                <c:pt idx="24">
                  <c:v>899</c:v>
                </c:pt>
                <c:pt idx="25">
                  <c:v>899</c:v>
                </c:pt>
                <c:pt idx="26">
                  <c:v>899</c:v>
                </c:pt>
                <c:pt idx="27">
                  <c:v>899</c:v>
                </c:pt>
                <c:pt idx="28">
                  <c:v>899</c:v>
                </c:pt>
                <c:pt idx="29">
                  <c:v>899</c:v>
                </c:pt>
                <c:pt idx="30">
                  <c:v>899</c:v>
                </c:pt>
                <c:pt idx="31">
                  <c:v>899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EE8-7B46-8F8A-2AEF111744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9299104"/>
        <c:axId val="45985344"/>
      </c:lineChart>
      <c:catAx>
        <c:axId val="539299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985344"/>
        <c:crosses val="autoZero"/>
        <c:auto val="1"/>
        <c:lblAlgn val="ctr"/>
        <c:lblOffset val="100"/>
        <c:tickLblSkip val="5"/>
        <c:noMultiLvlLbl val="0"/>
      </c:catAx>
      <c:valAx>
        <c:axId val="45985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ys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Well-to-wake</a:t>
                </a:r>
                <a:r>
                  <a:rPr lang="en-US" baseline="0"/>
                  <a:t> GHG Emissions (MtCO2e)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6.174844539926878E-3"/>
              <c:y val="0.257903741322275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9299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7.7064145142057491E-2"/>
          <c:y val="0.56588100451940548"/>
          <c:w val="0.16463778542075233"/>
          <c:h val="0.33301104225877093"/>
        </c:manualLayout>
      </c:layout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323850</xdr:colOff>
      <xdr:row>39</xdr:row>
      <xdr:rowOff>107950</xdr:rowOff>
    </xdr:from>
    <xdr:to>
      <xdr:col>11</xdr:col>
      <xdr:colOff>533400</xdr:colOff>
      <xdr:row>75</xdr:row>
      <xdr:rowOff>63500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1DA7A14-2180-A37F-D71F-0836D50651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33</xdr:row>
      <xdr:rowOff>0</xdr:rowOff>
    </xdr:from>
    <xdr:to>
      <xdr:col>11</xdr:col>
      <xdr:colOff>431800</xdr:colOff>
      <xdr:row>44</xdr:row>
      <xdr:rowOff>120003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E82C9C0-CCE1-DA4A-B9A3-BA85365477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38700" y="6705600"/>
          <a:ext cx="6210300" cy="2355203"/>
        </a:xfrm>
        <a:prstGeom prst="rect">
          <a:avLst/>
        </a:prstGeom>
      </xdr:spPr>
    </xdr:pic>
    <xdr:clientData/>
  </xdr:twoCellAnchor>
  <xdr:twoCellAnchor editAs="oneCell">
    <xdr:from>
      <xdr:col>4</xdr:col>
      <xdr:colOff>105833</xdr:colOff>
      <xdr:row>45</xdr:row>
      <xdr:rowOff>10583</xdr:rowOff>
    </xdr:from>
    <xdr:to>
      <xdr:col>13</xdr:col>
      <xdr:colOff>448733</xdr:colOff>
      <xdr:row>64</xdr:row>
      <xdr:rowOff>149910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C033FD1-07EE-5E4D-BE4F-B43F96F020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49583" y="9059333"/>
          <a:ext cx="9582150" cy="395991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342900</xdr:colOff>
      <xdr:row>2</xdr:row>
      <xdr:rowOff>171450</xdr:rowOff>
    </xdr:from>
    <xdr:to>
      <xdr:col>22</xdr:col>
      <xdr:colOff>12700</xdr:colOff>
      <xdr:row>29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122ECB3-54F4-031C-EFE5-8DDB390B93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0.04808</cdr:x>
      <cdr:y>0.34443</cdr:y>
    </cdr:from>
    <cdr:to>
      <cdr:x>0.09478</cdr:x>
      <cdr:y>0.39309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62FCFFB1-A0AC-F5A9-EA0D-3DF786811FDC}"/>
            </a:ext>
          </a:extLst>
        </cdr:cNvPr>
        <cdr:cNvSpPr txBox="1"/>
      </cdr:nvSpPr>
      <cdr:spPr>
        <a:xfrm xmlns:a="http://schemas.openxmlformats.org/drawingml/2006/main">
          <a:off x="444500" y="1708150"/>
          <a:ext cx="431800" cy="2413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 b="1" kern="1200">
              <a:solidFill>
                <a:schemeClr val="tx1"/>
              </a:solidFill>
            </a:rPr>
            <a:t>899</a:t>
          </a:r>
        </a:p>
      </cdr:txBody>
    </cdr:sp>
  </cdr:relSizeAnchor>
  <cdr:relSizeAnchor xmlns:cdr="http://schemas.openxmlformats.org/drawingml/2006/chartDrawing">
    <cdr:from>
      <cdr:x>0.82874</cdr:x>
      <cdr:y>0.09731</cdr:y>
    </cdr:from>
    <cdr:to>
      <cdr:x>0.94</cdr:x>
      <cdr:y>0.14981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CE22F03E-D0B0-78DE-4C34-264EB90D5C5C}"/>
            </a:ext>
          </a:extLst>
        </cdr:cNvPr>
        <cdr:cNvSpPr txBox="1"/>
      </cdr:nvSpPr>
      <cdr:spPr>
        <a:xfrm xmlns:a="http://schemas.openxmlformats.org/drawingml/2006/main">
          <a:off x="7946362" y="482600"/>
          <a:ext cx="1066852" cy="2603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b="1" kern="1200">
              <a:solidFill>
                <a:schemeClr val="tx1"/>
              </a:solidFill>
            </a:rPr>
            <a:t>1,215 (+35% from</a:t>
          </a:r>
          <a:r>
            <a:rPr lang="en-US" sz="1100" b="1" kern="1200" baseline="0">
              <a:solidFill>
                <a:schemeClr val="tx1"/>
              </a:solidFill>
            </a:rPr>
            <a:t> 2019)</a:t>
          </a:r>
          <a:endParaRPr lang="en-US" sz="1100" b="1" kern="1200">
            <a:solidFill>
              <a:schemeClr val="tx1"/>
            </a:solidFill>
          </a:endParaRPr>
        </a:p>
      </cdr:txBody>
    </cdr:sp>
  </cdr:relSizeAnchor>
  <cdr:relSizeAnchor xmlns:cdr="http://schemas.openxmlformats.org/drawingml/2006/chartDrawing">
    <cdr:from>
      <cdr:x>0.82874</cdr:x>
      <cdr:y>0.2023</cdr:y>
    </cdr:from>
    <cdr:to>
      <cdr:x>0.93775</cdr:x>
      <cdr:y>0.24712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CE22F03E-D0B0-78DE-4C34-264EB90D5C5C}"/>
            </a:ext>
          </a:extLst>
        </cdr:cNvPr>
        <cdr:cNvSpPr txBox="1"/>
      </cdr:nvSpPr>
      <cdr:spPr>
        <a:xfrm xmlns:a="http://schemas.openxmlformats.org/drawingml/2006/main">
          <a:off x="7946362" y="1003300"/>
          <a:ext cx="1045238" cy="2222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b="1" kern="1200">
              <a:solidFill>
                <a:schemeClr val="tx1"/>
              </a:solidFill>
            </a:rPr>
            <a:t>1,125 (+25% from 2019)</a:t>
          </a:r>
        </a:p>
      </cdr:txBody>
    </cdr:sp>
  </cdr:relSizeAnchor>
</c:userShapes>
</file>

<file path=xl/persons/person.xml><?xml version="1.0" encoding="utf-8"?>
<personList xmlns="http://schemas.microsoft.com/office/spreadsheetml/2018/threadedcomments" xmlns:x="http://schemas.openxmlformats.org/spreadsheetml/2006/main">
  <person displayName="Hae Jeong Cho" id="{707D4DBC-8762-1C4C-9EE1-75CCB23B2C10}" userId="S::h.cho@theicct.org::41e4c5c6-1ba3-4111-ad62-8241dc04500f" providerId="AD"/>
</personList>
</file>

<file path=xl/theme/theme1.xml><?xml version="1.0" encoding="utf-8"?>
<a:theme xmlns:a="http://schemas.openxmlformats.org/drawingml/2006/main" name="ICCT">
  <a:themeElements>
    <a:clrScheme name="ICCTPalette2024">
      <a:dk1>
        <a:srgbClr val="414D56"/>
      </a:dk1>
      <a:lt1>
        <a:srgbClr val="FFFFFF"/>
      </a:lt1>
      <a:dk2>
        <a:srgbClr val="282866"/>
      </a:dk2>
      <a:lt2>
        <a:srgbClr val="00A695"/>
      </a:lt2>
      <a:accent1>
        <a:srgbClr val="007892"/>
      </a:accent1>
      <a:accent2>
        <a:srgbClr val="9CB339"/>
      </a:accent2>
      <a:accent3>
        <a:srgbClr val="388338"/>
      </a:accent3>
      <a:accent4>
        <a:srgbClr val="F0AE1D"/>
      </a:accent4>
      <a:accent5>
        <a:srgbClr val="9C1A3D"/>
      </a:accent5>
      <a:accent6>
        <a:srgbClr val="632A79"/>
      </a:accent6>
      <a:hlink>
        <a:srgbClr val="007993"/>
      </a:hlink>
      <a:folHlink>
        <a:srgbClr val="902681"/>
      </a:folHlink>
    </a:clrScheme>
    <a:fontScheme name="Office Classic 2">
      <a:maj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ajorFont>
      <a:min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ICCTpalette2024" id="{FDBE50D6-D804-F745-86F6-E600F2AEF29B}" vid="{0E8CEFC4-4E46-B94F-84F2-0D3DBD6BDA30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34" dT="2025-01-15T17:10:23.20" personId="{707D4DBC-8762-1C4C-9EE1-75CCB23B2C10}" id="{22014DB4-242B-274F-ACF8-AADC2BADC06A}">
    <text>In the paper, use EU MRV numbers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https://eur-lex.europa.eu/eli/reg/2023/1805" TargetMode="External"/><Relationship Id="rId1" Type="http://schemas.openxmlformats.org/officeDocument/2006/relationships/hyperlink" Target="https://theicct.org/wp-content/uploads/2023/07/Transport-fuels-in-the-EU-Fit-for-55-policy-update-A4-v2_Aug23corr.pdf" TargetMode="External"/><Relationship Id="rId6" Type="http://schemas.microsoft.com/office/2017/10/relationships/threadedComment" Target="../threadedComments/threadedComment1.xm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66FBC-4E9E-C54D-AC04-D1AC230C89BE}">
  <dimension ref="A1:R91"/>
  <sheetViews>
    <sheetView tabSelected="1" topLeftCell="A2" workbookViewId="0">
      <pane xSplit="1" topLeftCell="B1" activePane="topRight" state="frozen"/>
      <selection pane="topRight" activeCell="E32" sqref="E32"/>
    </sheetView>
  </sheetViews>
  <sheetFormatPr defaultColWidth="11.5546875" defaultRowHeight="15.95"/>
  <cols>
    <col min="2" max="2" width="20.44140625" bestFit="1" customWidth="1"/>
    <col min="3" max="3" width="15.88671875" bestFit="1" customWidth="1"/>
    <col min="4" max="4" width="10.88671875" bestFit="1" customWidth="1"/>
    <col min="5" max="5" width="12.109375" bestFit="1" customWidth="1"/>
    <col min="6" max="6" width="12.109375" customWidth="1"/>
    <col min="7" max="7" width="19.44140625" bestFit="1" customWidth="1"/>
    <col min="8" max="8" width="20.44140625" bestFit="1" customWidth="1"/>
    <col min="10" max="10" width="10.88671875" bestFit="1" customWidth="1"/>
    <col min="12" max="12" width="11" bestFit="1" customWidth="1"/>
    <col min="13" max="13" width="13.44140625" customWidth="1"/>
    <col min="15" max="15" width="13.44140625" customWidth="1"/>
  </cols>
  <sheetData>
    <row r="1" spans="1:18">
      <c r="G1" s="7" t="s">
        <v>0</v>
      </c>
    </row>
    <row r="2" spans="1:18" ht="17.100000000000001" thickBot="1">
      <c r="G2" s="8">
        <f>ROUND(FEUM!B36,3)</f>
        <v>9.2999999999999999E-2</v>
      </c>
    </row>
    <row r="3" spans="1:18" ht="17.100000000000001" thickBot="1"/>
    <row r="4" spans="1:18">
      <c r="A4" s="9" t="s">
        <v>1</v>
      </c>
      <c r="B4" s="10" t="s">
        <v>2</v>
      </c>
      <c r="C4" s="10" t="s">
        <v>3</v>
      </c>
      <c r="D4" s="11" t="s">
        <v>4</v>
      </c>
      <c r="G4" s="9" t="s">
        <v>5</v>
      </c>
      <c r="H4" s="11" t="s">
        <v>6</v>
      </c>
      <c r="J4" s="7" t="s">
        <v>7</v>
      </c>
      <c r="L4" s="9" t="s">
        <v>8</v>
      </c>
      <c r="M4" s="11" t="s">
        <v>9</v>
      </c>
      <c r="O4" s="7" t="s">
        <v>10</v>
      </c>
      <c r="Q4" s="9" t="s">
        <v>11</v>
      </c>
      <c r="R4" s="11" t="s">
        <v>12</v>
      </c>
    </row>
    <row r="5" spans="1:18">
      <c r="A5" s="12">
        <v>2019</v>
      </c>
      <c r="B5" s="13">
        <v>9899449384439.8691</v>
      </c>
      <c r="C5" s="13">
        <v>899241741.13805401</v>
      </c>
      <c r="D5" s="14">
        <v>90.837551283559094</v>
      </c>
      <c r="E5" s="55"/>
      <c r="F5" s="5"/>
      <c r="G5" s="18">
        <f>B5*$G$2</f>
        <v>920648792752.90784</v>
      </c>
      <c r="H5" s="19">
        <f>B5*(1-$G$2)</f>
        <v>8978800591686.9609</v>
      </c>
      <c r="I5" s="5"/>
      <c r="J5" s="22">
        <f>D5</f>
        <v>90.837551283559094</v>
      </c>
      <c r="K5" s="5"/>
      <c r="L5" s="18">
        <f>G5*J5/10^6</f>
        <v>83629481.925839037</v>
      </c>
      <c r="M5" s="19">
        <f>H5*D5/10^6</f>
        <v>815612259.21221495</v>
      </c>
      <c r="N5" s="5"/>
      <c r="O5" s="25">
        <f>SUM(L5:M5)</f>
        <v>899241741.13805401</v>
      </c>
      <c r="Q5" s="31">
        <f>C5-O5</f>
        <v>0</v>
      </c>
      <c r="R5" s="32">
        <f>Q5/C5</f>
        <v>0</v>
      </c>
    </row>
    <row r="6" spans="1:18">
      <c r="A6" s="12">
        <v>2020</v>
      </c>
      <c r="B6" s="13">
        <v>10369823377906.1</v>
      </c>
      <c r="C6" s="13">
        <v>929752093.53054297</v>
      </c>
      <c r="D6" s="14">
        <v>89.659395309611796</v>
      </c>
      <c r="E6" s="55"/>
      <c r="F6" s="5"/>
      <c r="G6" s="18">
        <f t="shared" ref="G6:G36" si="0">B6*$G$2</f>
        <v>964393574145.26721</v>
      </c>
      <c r="H6" s="19">
        <f t="shared" ref="H6:H36" si="1">B6*(1-$G$2)</f>
        <v>9405429803760.832</v>
      </c>
      <c r="I6" s="5"/>
      <c r="J6" s="22">
        <f t="shared" ref="J6:J10" si="2">D6</f>
        <v>89.659395309611796</v>
      </c>
      <c r="K6" s="5"/>
      <c r="L6" s="18">
        <f t="shared" ref="L6:L36" si="3">G6*J6/10^6</f>
        <v>86466944.698339924</v>
      </c>
      <c r="M6" s="19">
        <f t="shared" ref="M6:M36" si="4">H6*D6/10^6</f>
        <v>843285148.83219683</v>
      </c>
      <c r="N6" s="5"/>
      <c r="O6" s="25">
        <f t="shared" ref="O6:O36" si="5">SUM(L6:M6)</f>
        <v>929752093.53053677</v>
      </c>
      <c r="Q6" s="31">
        <f t="shared" ref="Q6:Q36" si="6">C6-O6</f>
        <v>6.198883056640625E-6</v>
      </c>
      <c r="R6" s="32">
        <f t="shared" ref="R6:R36" si="7">Q6/C6</f>
        <v>6.6672429132174766E-15</v>
      </c>
    </row>
    <row r="7" spans="1:18">
      <c r="A7" s="12">
        <v>2021</v>
      </c>
      <c r="B7" s="13">
        <v>10560966038986.801</v>
      </c>
      <c r="C7" s="13">
        <v>947159794.87435102</v>
      </c>
      <c r="D7" s="14">
        <v>89.684957926937301</v>
      </c>
      <c r="E7" s="55"/>
      <c r="F7" s="5"/>
      <c r="G7" s="18">
        <f t="shared" si="0"/>
        <v>982169841625.77246</v>
      </c>
      <c r="H7" s="19">
        <f t="shared" si="1"/>
        <v>9578796197361.0293</v>
      </c>
      <c r="I7" s="5"/>
      <c r="J7" s="22">
        <f t="shared" si="2"/>
        <v>89.684957926937301</v>
      </c>
      <c r="K7" s="5"/>
      <c r="L7" s="18">
        <f t="shared" si="3"/>
        <v>88085860.92331408</v>
      </c>
      <c r="M7" s="19">
        <f t="shared" si="4"/>
        <v>859073933.95103085</v>
      </c>
      <c r="N7" s="5"/>
      <c r="O7" s="25">
        <f t="shared" si="5"/>
        <v>947159794.87434494</v>
      </c>
      <c r="Q7" s="31">
        <f t="shared" si="6"/>
        <v>6.0796737670898438E-6</v>
      </c>
      <c r="R7" s="32">
        <f t="shared" si="7"/>
        <v>6.4188469569660791E-15</v>
      </c>
    </row>
    <row r="8" spans="1:18">
      <c r="A8" s="12">
        <v>2022</v>
      </c>
      <c r="B8" s="13">
        <v>10661841732980.9</v>
      </c>
      <c r="C8" s="13">
        <v>956250249.08079696</v>
      </c>
      <c r="D8" s="14">
        <v>89.689030566151203</v>
      </c>
      <c r="E8" s="55"/>
      <c r="F8" s="5"/>
      <c r="G8" s="18">
        <f t="shared" si="0"/>
        <v>991551281167.22375</v>
      </c>
      <c r="H8" s="19">
        <f t="shared" si="1"/>
        <v>9670290451813.6777</v>
      </c>
      <c r="I8" s="5"/>
      <c r="J8" s="22">
        <f t="shared" si="2"/>
        <v>89.689030566151203</v>
      </c>
      <c r="K8" s="5"/>
      <c r="L8" s="18">
        <f t="shared" si="3"/>
        <v>88931273.164513513</v>
      </c>
      <c r="M8" s="19">
        <f t="shared" si="4"/>
        <v>867318975.91627717</v>
      </c>
      <c r="N8" s="5"/>
      <c r="O8" s="25">
        <f t="shared" si="5"/>
        <v>956250249.08079064</v>
      </c>
      <c r="Q8" s="31">
        <f t="shared" si="6"/>
        <v>6.3180923461914063E-6</v>
      </c>
      <c r="R8" s="32">
        <f t="shared" si="7"/>
        <v>6.60715367370071E-15</v>
      </c>
    </row>
    <row r="9" spans="1:18">
      <c r="A9" s="12">
        <v>2023</v>
      </c>
      <c r="B9" s="13">
        <v>10317893543956.1</v>
      </c>
      <c r="C9" s="13">
        <v>928042719.05604196</v>
      </c>
      <c r="D9" s="14">
        <v>89.9449790892306</v>
      </c>
      <c r="E9" s="56"/>
      <c r="F9" s="5"/>
      <c r="G9" s="18">
        <f t="shared" si="0"/>
        <v>959564099587.91724</v>
      </c>
      <c r="H9" s="19">
        <f t="shared" si="1"/>
        <v>9358329444368.1836</v>
      </c>
      <c r="I9" s="5"/>
      <c r="J9" s="22">
        <f t="shared" si="2"/>
        <v>89.9449790892306</v>
      </c>
      <c r="K9" s="5"/>
      <c r="L9" s="18">
        <f t="shared" si="3"/>
        <v>86307972.872211605</v>
      </c>
      <c r="M9" s="19">
        <f t="shared" si="4"/>
        <v>841734746.18382728</v>
      </c>
      <c r="N9" s="5"/>
      <c r="O9" s="25">
        <f t="shared" si="5"/>
        <v>928042719.05603886</v>
      </c>
      <c r="Q9" s="31">
        <f t="shared" si="6"/>
        <v>3.0994415283203125E-6</v>
      </c>
      <c r="R9" s="32">
        <f t="shared" si="7"/>
        <v>3.3397616991951699E-15</v>
      </c>
    </row>
    <row r="10" spans="1:18">
      <c r="A10" s="12">
        <v>2024</v>
      </c>
      <c r="B10" s="13">
        <v>10433792178502.699</v>
      </c>
      <c r="C10" s="13">
        <v>938708821.35877502</v>
      </c>
      <c r="D10" s="14">
        <v>89.968134816106897</v>
      </c>
      <c r="E10" s="55"/>
      <c r="F10" s="5"/>
      <c r="G10" s="18">
        <f t="shared" si="0"/>
        <v>970342672600.75098</v>
      </c>
      <c r="H10" s="19">
        <f t="shared" si="1"/>
        <v>9463449505901.9492</v>
      </c>
      <c r="I10" s="5"/>
      <c r="J10" s="22">
        <f t="shared" si="2"/>
        <v>89.968134816106897</v>
      </c>
      <c r="K10" s="5"/>
      <c r="L10" s="18">
        <f t="shared" si="3"/>
        <v>87299920.386365846</v>
      </c>
      <c r="M10" s="19">
        <f t="shared" si="4"/>
        <v>851408900.97240674</v>
      </c>
      <c r="N10" s="5"/>
      <c r="O10" s="25">
        <f t="shared" si="5"/>
        <v>938708821.35877264</v>
      </c>
      <c r="Q10" s="31">
        <f t="shared" si="6"/>
        <v>2.384185791015625E-6</v>
      </c>
      <c r="R10" s="32">
        <f t="shared" si="7"/>
        <v>2.5398565953226382E-15</v>
      </c>
    </row>
    <row r="11" spans="1:18">
      <c r="A11" s="12">
        <v>2025</v>
      </c>
      <c r="B11" s="13">
        <v>10613706935241.1</v>
      </c>
      <c r="C11" s="13">
        <v>955051996.47311199</v>
      </c>
      <c r="D11" s="14">
        <v>89.982887439826797</v>
      </c>
      <c r="E11" s="55"/>
      <c r="F11" s="5"/>
      <c r="G11" s="18">
        <f t="shared" si="0"/>
        <v>987074744977.42224</v>
      </c>
      <c r="H11" s="19">
        <f t="shared" si="1"/>
        <v>9626632190263.6777</v>
      </c>
      <c r="I11" s="5"/>
      <c r="J11" s="23">
        <v>89.34</v>
      </c>
      <c r="K11" s="5"/>
      <c r="L11" s="18">
        <f t="shared" si="3"/>
        <v>88185257.716282904</v>
      </c>
      <c r="M11" s="19">
        <f t="shared" si="4"/>
        <v>866232160.80110991</v>
      </c>
      <c r="N11" s="5"/>
      <c r="O11" s="25">
        <f t="shared" si="5"/>
        <v>954417418.51739287</v>
      </c>
      <c r="Q11" s="31">
        <f t="shared" si="6"/>
        <v>634577.95571911335</v>
      </c>
      <c r="R11" s="32">
        <f t="shared" si="7"/>
        <v>6.6444335812346417E-4</v>
      </c>
    </row>
    <row r="12" spans="1:18">
      <c r="A12" s="12">
        <v>2026</v>
      </c>
      <c r="B12" s="13">
        <v>10775668483239.199</v>
      </c>
      <c r="C12" s="13">
        <v>969762598.23479605</v>
      </c>
      <c r="D12" s="14">
        <v>89.995585864875693</v>
      </c>
      <c r="E12" s="55"/>
      <c r="F12" s="5"/>
      <c r="G12" s="18">
        <f t="shared" si="0"/>
        <v>1002137168941.2455</v>
      </c>
      <c r="H12" s="19">
        <f t="shared" si="1"/>
        <v>9773531314297.9531</v>
      </c>
      <c r="I12" s="5"/>
      <c r="J12" s="23">
        <v>89.34</v>
      </c>
      <c r="K12" s="5"/>
      <c r="L12" s="18">
        <f t="shared" si="3"/>
        <v>89530934.673210874</v>
      </c>
      <c r="M12" s="19">
        <f t="shared" si="4"/>
        <v>879574676.59895289</v>
      </c>
      <c r="N12" s="5"/>
      <c r="O12" s="25">
        <f t="shared" si="5"/>
        <v>969105611.27216375</v>
      </c>
      <c r="Q12" s="31">
        <f t="shared" si="6"/>
        <v>656986.96263229847</v>
      </c>
      <c r="R12" s="32">
        <f t="shared" si="7"/>
        <v>6.774719542990982E-4</v>
      </c>
    </row>
    <row r="13" spans="1:18">
      <c r="A13" s="12">
        <v>2027</v>
      </c>
      <c r="B13" s="13">
        <v>10929994234781.9</v>
      </c>
      <c r="C13" s="13">
        <v>983833510.90877104</v>
      </c>
      <c r="D13" s="14">
        <v>90.012262566248396</v>
      </c>
      <c r="E13" s="55"/>
      <c r="F13" s="5"/>
      <c r="G13" s="18">
        <f t="shared" si="0"/>
        <v>1016489463834.7167</v>
      </c>
      <c r="H13" s="19">
        <f t="shared" si="1"/>
        <v>9913504770947.1836</v>
      </c>
      <c r="I13" s="5"/>
      <c r="J13" s="23">
        <v>89.34</v>
      </c>
      <c r="K13" s="5"/>
      <c r="L13" s="18">
        <f t="shared" si="3"/>
        <v>90813168.698993593</v>
      </c>
      <c r="M13" s="19">
        <f t="shared" si="4"/>
        <v>892336994.39425397</v>
      </c>
      <c r="N13" s="5"/>
      <c r="O13" s="25">
        <f t="shared" si="5"/>
        <v>983150163.09324753</v>
      </c>
      <c r="Q13" s="31">
        <f t="shared" si="6"/>
        <v>683347.81552350521</v>
      </c>
      <c r="R13" s="32">
        <f t="shared" si="7"/>
        <v>6.9457668187404391E-4</v>
      </c>
    </row>
    <row r="14" spans="1:18">
      <c r="A14" s="12">
        <v>2028</v>
      </c>
      <c r="B14" s="13">
        <v>11050065838971</v>
      </c>
      <c r="C14" s="13">
        <v>994777726.45654094</v>
      </c>
      <c r="D14" s="14">
        <v>90.024597224406094</v>
      </c>
      <c r="E14" s="55"/>
      <c r="F14" s="5"/>
      <c r="G14" s="18">
        <f t="shared" si="0"/>
        <v>1027656123024.303</v>
      </c>
      <c r="H14" s="19">
        <f t="shared" si="1"/>
        <v>10022409715946.697</v>
      </c>
      <c r="I14" s="5"/>
      <c r="J14" s="23">
        <v>89.34</v>
      </c>
      <c r="K14" s="5"/>
      <c r="L14" s="18">
        <f t="shared" si="3"/>
        <v>91810798.030991241</v>
      </c>
      <c r="M14" s="19">
        <f t="shared" si="4"/>
        <v>902263397.89607573</v>
      </c>
      <c r="N14" s="5"/>
      <c r="O14" s="25">
        <f t="shared" si="5"/>
        <v>994074195.92706692</v>
      </c>
      <c r="Q14" s="31">
        <f t="shared" si="6"/>
        <v>703530.52947402</v>
      </c>
      <c r="R14" s="32">
        <f t="shared" si="7"/>
        <v>7.0722384585352426E-4</v>
      </c>
    </row>
    <row r="15" spans="1:18">
      <c r="A15" s="12">
        <v>2029</v>
      </c>
      <c r="B15" s="13">
        <v>11190006119408.199</v>
      </c>
      <c r="C15" s="13">
        <v>1007505992.2330101</v>
      </c>
      <c r="D15" s="14">
        <v>90.036232463319806</v>
      </c>
      <c r="E15" s="55"/>
      <c r="F15" s="5"/>
      <c r="G15" s="18">
        <f t="shared" si="0"/>
        <v>1040670569104.9625</v>
      </c>
      <c r="H15" s="19">
        <f t="shared" si="1"/>
        <v>10149335550303.236</v>
      </c>
      <c r="I15" s="5"/>
      <c r="J15" s="23">
        <v>89.34</v>
      </c>
      <c r="K15" s="5"/>
      <c r="L15" s="18">
        <f t="shared" si="3"/>
        <v>92973508.643837363</v>
      </c>
      <c r="M15" s="19">
        <f t="shared" si="4"/>
        <v>913807934.955338</v>
      </c>
      <c r="N15" s="5"/>
      <c r="O15" s="25">
        <f t="shared" si="5"/>
        <v>1006781443.5991753</v>
      </c>
      <c r="Q15" s="31">
        <f t="shared" si="6"/>
        <v>724548.63383471966</v>
      </c>
      <c r="R15" s="32">
        <f t="shared" si="7"/>
        <v>7.1915069430887341E-4</v>
      </c>
    </row>
    <row r="16" spans="1:18">
      <c r="A16" s="12">
        <v>2030</v>
      </c>
      <c r="B16" s="13">
        <v>11323274274083.1</v>
      </c>
      <c r="C16" s="13">
        <v>1019661150.02412</v>
      </c>
      <c r="D16" s="14">
        <v>90.050026639197</v>
      </c>
      <c r="E16" s="57">
        <f>B16/B8</f>
        <v>1.0620373625558661</v>
      </c>
      <c r="F16" s="5"/>
      <c r="G16" s="18">
        <f t="shared" si="0"/>
        <v>1053064507489.7283</v>
      </c>
      <c r="H16" s="19">
        <f t="shared" si="1"/>
        <v>10270209766593.371</v>
      </c>
      <c r="I16" s="5"/>
      <c r="J16" s="23">
        <v>85.69</v>
      </c>
      <c r="K16" s="5"/>
      <c r="L16" s="18">
        <f t="shared" si="3"/>
        <v>90237097.646794811</v>
      </c>
      <c r="M16" s="19">
        <f t="shared" si="4"/>
        <v>924832663.07187426</v>
      </c>
      <c r="N16" s="5"/>
      <c r="O16" s="25">
        <f t="shared" si="5"/>
        <v>1015069760.7186691</v>
      </c>
      <c r="Q16" s="31">
        <f t="shared" si="6"/>
        <v>4591389.3054509163</v>
      </c>
      <c r="R16" s="32">
        <f t="shared" si="7"/>
        <v>4.5028579399561388E-3</v>
      </c>
    </row>
    <row r="17" spans="1:18">
      <c r="A17" s="12">
        <v>2031</v>
      </c>
      <c r="B17" s="13">
        <v>11431206905179.9</v>
      </c>
      <c r="C17" s="13">
        <v>1029529571.67053</v>
      </c>
      <c r="D17" s="14">
        <v>90.063068598995798</v>
      </c>
      <c r="E17" s="55"/>
      <c r="F17" s="5"/>
      <c r="G17" s="18">
        <f t="shared" si="0"/>
        <v>1063102242181.7307</v>
      </c>
      <c r="H17" s="19">
        <f t="shared" si="1"/>
        <v>10368104662998.17</v>
      </c>
      <c r="I17" s="5"/>
      <c r="J17" s="23">
        <v>85.69</v>
      </c>
      <c r="K17" s="5"/>
      <c r="L17" s="18">
        <f t="shared" si="3"/>
        <v>91097231.132552505</v>
      </c>
      <c r="M17" s="19">
        <f t="shared" si="4"/>
        <v>933783321.50517237</v>
      </c>
      <c r="N17" s="5"/>
      <c r="O17" s="25">
        <f t="shared" si="5"/>
        <v>1024880552.6377249</v>
      </c>
      <c r="Q17" s="31">
        <f t="shared" si="6"/>
        <v>4649019.0328050852</v>
      </c>
      <c r="R17" s="32">
        <f t="shared" si="7"/>
        <v>4.5156731392003808E-3</v>
      </c>
    </row>
    <row r="18" spans="1:18">
      <c r="A18" s="12">
        <v>2032</v>
      </c>
      <c r="B18" s="13">
        <v>11527836784111.4</v>
      </c>
      <c r="C18" s="13">
        <v>1038437156.92748</v>
      </c>
      <c r="D18" s="14">
        <v>90.080834450981698</v>
      </c>
      <c r="E18" s="55"/>
      <c r="F18" s="5"/>
      <c r="G18" s="18">
        <f t="shared" si="0"/>
        <v>1072088820922.3602</v>
      </c>
      <c r="H18" s="19">
        <f t="shared" si="1"/>
        <v>10455747963189.041</v>
      </c>
      <c r="I18" s="5"/>
      <c r="J18" s="23">
        <v>85.69</v>
      </c>
      <c r="K18" s="5"/>
      <c r="L18" s="18">
        <f t="shared" si="3"/>
        <v>91867291.064837053</v>
      </c>
      <c r="M18" s="19">
        <f t="shared" si="4"/>
        <v>941862501.33322108</v>
      </c>
      <c r="N18" s="5"/>
      <c r="O18" s="25">
        <f t="shared" si="5"/>
        <v>1033729792.3980582</v>
      </c>
      <c r="Q18" s="31">
        <f t="shared" si="6"/>
        <v>4707364.5294218063</v>
      </c>
      <c r="R18" s="32">
        <f t="shared" si="7"/>
        <v>4.533124126018296E-3</v>
      </c>
    </row>
    <row r="19" spans="1:18">
      <c r="A19" s="12">
        <v>2033</v>
      </c>
      <c r="B19" s="13">
        <v>11633103204177.699</v>
      </c>
      <c r="C19" s="13">
        <v>1048083843.30904</v>
      </c>
      <c r="D19" s="14">
        <v>90.094949293723204</v>
      </c>
      <c r="E19" s="55"/>
      <c r="F19" s="5"/>
      <c r="G19" s="18">
        <f t="shared" si="0"/>
        <v>1081878597988.526</v>
      </c>
      <c r="H19" s="19">
        <f t="shared" si="1"/>
        <v>10551224606189.174</v>
      </c>
      <c r="I19" s="5"/>
      <c r="J19" s="23">
        <v>85.69</v>
      </c>
      <c r="K19" s="5"/>
      <c r="L19" s="18">
        <f t="shared" si="3"/>
        <v>92706177.061636791</v>
      </c>
      <c r="M19" s="19">
        <f t="shared" si="4"/>
        <v>950612045.8812983</v>
      </c>
      <c r="N19" s="5"/>
      <c r="O19" s="25">
        <f t="shared" si="5"/>
        <v>1043318222.9429351</v>
      </c>
      <c r="Q19" s="31">
        <f t="shared" si="6"/>
        <v>4765620.3661048412</v>
      </c>
      <c r="R19" s="32">
        <f t="shared" si="7"/>
        <v>4.5469839045115795E-3</v>
      </c>
    </row>
    <row r="20" spans="1:18">
      <c r="A20" s="12">
        <v>2034</v>
      </c>
      <c r="B20" s="13">
        <v>11755547583596.1</v>
      </c>
      <c r="C20" s="13">
        <v>1059275227.40658</v>
      </c>
      <c r="D20" s="14">
        <v>90.108539808448398</v>
      </c>
      <c r="E20" s="55"/>
      <c r="F20" s="5"/>
      <c r="G20" s="18">
        <f t="shared" si="0"/>
        <v>1093265925274.4373</v>
      </c>
      <c r="H20" s="19">
        <f t="shared" si="1"/>
        <v>10662281658321.662</v>
      </c>
      <c r="I20" s="5"/>
      <c r="J20" s="23">
        <v>85.69</v>
      </c>
      <c r="K20" s="5"/>
      <c r="L20" s="18">
        <f t="shared" si="3"/>
        <v>93681957.136766538</v>
      </c>
      <c r="M20" s="19">
        <f t="shared" si="4"/>
        <v>960762631.25776672</v>
      </c>
      <c r="N20" s="5"/>
      <c r="O20" s="25">
        <f t="shared" si="5"/>
        <v>1054444588.3945333</v>
      </c>
      <c r="Q20" s="31">
        <f t="shared" si="6"/>
        <v>4830639.0120466948</v>
      </c>
      <c r="R20" s="32">
        <f t="shared" si="7"/>
        <v>4.5603247268167805E-3</v>
      </c>
    </row>
    <row r="21" spans="1:18">
      <c r="A21" s="12">
        <v>2035</v>
      </c>
      <c r="B21" s="13">
        <v>11849280825528.199</v>
      </c>
      <c r="C21" s="13">
        <v>1067902236.58127</v>
      </c>
      <c r="D21" s="14">
        <v>90.123801799056693</v>
      </c>
      <c r="E21" s="55"/>
      <c r="F21" s="5"/>
      <c r="G21" s="18">
        <f t="shared" si="0"/>
        <v>1101983116774.1226</v>
      </c>
      <c r="H21" s="19">
        <f t="shared" si="1"/>
        <v>10747297708754.076</v>
      </c>
      <c r="I21" s="5"/>
      <c r="J21" s="23">
        <v>77.94</v>
      </c>
      <c r="K21" s="5"/>
      <c r="L21" s="18">
        <f t="shared" si="3"/>
        <v>85888564.121375114</v>
      </c>
      <c r="M21" s="19">
        <f t="shared" si="4"/>
        <v>968587328.57920849</v>
      </c>
      <c r="N21" s="5"/>
      <c r="O21" s="25">
        <f t="shared" si="5"/>
        <v>1054475892.7005836</v>
      </c>
      <c r="Q21" s="31">
        <f t="shared" si="6"/>
        <v>13426343.880686402</v>
      </c>
      <c r="R21" s="32">
        <f t="shared" si="7"/>
        <v>1.2572633917940694E-2</v>
      </c>
    </row>
    <row r="22" spans="1:18">
      <c r="A22" s="12">
        <v>2036</v>
      </c>
      <c r="B22" s="13">
        <v>11962196350163.199</v>
      </c>
      <c r="C22" s="13">
        <v>1078171074.8928199</v>
      </c>
      <c r="D22" s="14">
        <v>90.131531311815095</v>
      </c>
      <c r="E22" s="55"/>
      <c r="F22" s="5"/>
      <c r="G22" s="18">
        <f t="shared" si="0"/>
        <v>1112484260565.1775</v>
      </c>
      <c r="H22" s="19">
        <f t="shared" si="1"/>
        <v>10849712089598.021</v>
      </c>
      <c r="I22" s="5"/>
      <c r="J22" s="23">
        <v>77.94</v>
      </c>
      <c r="K22" s="5"/>
      <c r="L22" s="18">
        <f t="shared" si="3"/>
        <v>86707023.268449932</v>
      </c>
      <c r="M22" s="19">
        <f t="shared" si="4"/>
        <v>977901164.92778289</v>
      </c>
      <c r="N22" s="5"/>
      <c r="O22" s="25">
        <f t="shared" si="5"/>
        <v>1064608188.1962328</v>
      </c>
      <c r="Q22" s="31">
        <f t="shared" si="6"/>
        <v>13562886.696587086</v>
      </c>
      <c r="R22" s="32">
        <f t="shared" si="7"/>
        <v>1.2579531219510189E-2</v>
      </c>
    </row>
    <row r="23" spans="1:18">
      <c r="A23" s="12">
        <v>2037</v>
      </c>
      <c r="B23" s="13">
        <v>12071170463045.199</v>
      </c>
      <c r="C23" s="13">
        <v>1088148373.51</v>
      </c>
      <c r="D23" s="14">
        <v>90.144396257286601</v>
      </c>
      <c r="E23" s="55"/>
      <c r="F23" s="5"/>
      <c r="G23" s="18">
        <f t="shared" si="0"/>
        <v>1122618853063.2036</v>
      </c>
      <c r="H23" s="19">
        <f t="shared" si="1"/>
        <v>10948551609981.996</v>
      </c>
      <c r="I23" s="5"/>
      <c r="J23" s="23">
        <v>77.94</v>
      </c>
      <c r="K23" s="5"/>
      <c r="L23" s="18">
        <f t="shared" si="3"/>
        <v>87496913.407746091</v>
      </c>
      <c r="M23" s="19">
        <f t="shared" si="4"/>
        <v>986950574.7735703</v>
      </c>
      <c r="N23" s="5"/>
      <c r="O23" s="25">
        <f t="shared" si="5"/>
        <v>1074447488.1813164</v>
      </c>
      <c r="Q23" s="31">
        <f t="shared" si="6"/>
        <v>13700885.328683615</v>
      </c>
      <c r="R23" s="32">
        <f t="shared" si="7"/>
        <v>1.2591008415965532E-2</v>
      </c>
    </row>
    <row r="24" spans="1:18">
      <c r="A24" s="12">
        <v>2038</v>
      </c>
      <c r="B24" s="13">
        <v>12194820224788.301</v>
      </c>
      <c r="C24" s="13">
        <v>1099414408.30775</v>
      </c>
      <c r="D24" s="14">
        <v>90.154212037744998</v>
      </c>
      <c r="E24" s="55"/>
      <c r="F24" s="5"/>
      <c r="G24" s="18">
        <f t="shared" si="0"/>
        <v>1134118280905.312</v>
      </c>
      <c r="H24" s="19">
        <f t="shared" si="1"/>
        <v>11060701943882.988</v>
      </c>
      <c r="I24" s="5"/>
      <c r="J24" s="23">
        <v>77.94</v>
      </c>
      <c r="K24" s="5"/>
      <c r="L24" s="18">
        <f t="shared" si="3"/>
        <v>88393178.813760012</v>
      </c>
      <c r="M24" s="19">
        <f t="shared" si="4"/>
        <v>997168868.33512521</v>
      </c>
      <c r="N24" s="5"/>
      <c r="O24" s="25">
        <f t="shared" si="5"/>
        <v>1085562047.1488853</v>
      </c>
      <c r="Q24" s="31">
        <f t="shared" si="6"/>
        <v>13852361.158864737</v>
      </c>
      <c r="R24" s="32">
        <f t="shared" si="7"/>
        <v>1.2599763159541165E-2</v>
      </c>
    </row>
    <row r="25" spans="1:18">
      <c r="A25" s="12">
        <v>2039</v>
      </c>
      <c r="B25" s="13">
        <v>12300015208904.4</v>
      </c>
      <c r="C25" s="13">
        <v>1108976940.45683</v>
      </c>
      <c r="D25" s="14">
        <v>90.160615383142201</v>
      </c>
      <c r="E25" s="55"/>
      <c r="F25" s="5"/>
      <c r="G25" s="18">
        <f t="shared" si="0"/>
        <v>1143901414428.1091</v>
      </c>
      <c r="H25" s="19">
        <f t="shared" si="1"/>
        <v>11156113794476.291</v>
      </c>
      <c r="I25" s="5"/>
      <c r="J25" s="23">
        <v>77.94</v>
      </c>
      <c r="K25" s="5"/>
      <c r="L25" s="18">
        <f t="shared" si="3"/>
        <v>89155676.240526825</v>
      </c>
      <c r="M25" s="19">
        <f t="shared" si="4"/>
        <v>1005842084.994344</v>
      </c>
      <c r="N25" s="5"/>
      <c r="O25" s="25">
        <f t="shared" si="5"/>
        <v>1094997761.2348709</v>
      </c>
      <c r="Q25" s="31">
        <f t="shared" si="6"/>
        <v>13979179.221959114</v>
      </c>
      <c r="R25" s="32">
        <f t="shared" si="7"/>
        <v>1.2605473307858462E-2</v>
      </c>
    </row>
    <row r="26" spans="1:18">
      <c r="A26" s="12">
        <v>2040</v>
      </c>
      <c r="B26" s="13">
        <v>12418410539706.801</v>
      </c>
      <c r="C26" s="13">
        <v>1119682162.4551799</v>
      </c>
      <c r="D26" s="14">
        <v>90.163081569504698</v>
      </c>
      <c r="E26" s="57">
        <f>B26/B8</f>
        <v>1.1647528495280701</v>
      </c>
      <c r="F26" s="5"/>
      <c r="G26" s="18">
        <f t="shared" si="0"/>
        <v>1154912180192.7324</v>
      </c>
      <c r="H26" s="19">
        <f t="shared" si="1"/>
        <v>11263498359514.068</v>
      </c>
      <c r="I26" s="5"/>
      <c r="J26" s="23">
        <v>62.9</v>
      </c>
      <c r="K26" s="5"/>
      <c r="L26" s="18">
        <f t="shared" si="3"/>
        <v>72643976.134122878</v>
      </c>
      <c r="M26" s="19">
        <f t="shared" si="4"/>
        <v>1015551721.3468492</v>
      </c>
      <c r="N26" s="5"/>
      <c r="O26" s="25">
        <f t="shared" si="5"/>
        <v>1088195697.4809721</v>
      </c>
      <c r="Q26" s="31">
        <f t="shared" si="6"/>
        <v>31486464.974207878</v>
      </c>
      <c r="R26" s="32">
        <f t="shared" si="7"/>
        <v>2.8120895402286322E-2</v>
      </c>
    </row>
    <row r="27" spans="1:18">
      <c r="A27" s="12">
        <v>2041</v>
      </c>
      <c r="B27" s="13">
        <v>12515535286211.801</v>
      </c>
      <c r="C27" s="13">
        <v>1128507798.0529599</v>
      </c>
      <c r="D27" s="14">
        <v>90.168560292920404</v>
      </c>
      <c r="E27" s="57"/>
      <c r="F27" s="5"/>
      <c r="G27" s="18">
        <f t="shared" si="0"/>
        <v>1163944781617.6975</v>
      </c>
      <c r="H27" s="19">
        <f t="shared" si="1"/>
        <v>11351590504594.104</v>
      </c>
      <c r="I27" s="5"/>
      <c r="J27" s="23">
        <v>62.9</v>
      </c>
      <c r="K27" s="5"/>
      <c r="L27" s="18">
        <f t="shared" si="3"/>
        <v>73212126.763753176</v>
      </c>
      <c r="M27" s="19">
        <f t="shared" si="4"/>
        <v>1023556572.8340361</v>
      </c>
      <c r="N27" s="5"/>
      <c r="O27" s="25">
        <f t="shared" si="5"/>
        <v>1096768699.5977893</v>
      </c>
      <c r="Q27" s="31">
        <f t="shared" si="6"/>
        <v>31739098.455170631</v>
      </c>
      <c r="R27" s="32">
        <f t="shared" si="7"/>
        <v>2.8124837515461406E-2</v>
      </c>
    </row>
    <row r="28" spans="1:18">
      <c r="A28" s="12">
        <v>2042</v>
      </c>
      <c r="B28" s="13">
        <v>12628046553033.699</v>
      </c>
      <c r="C28" s="13">
        <v>1138753131.5567</v>
      </c>
      <c r="D28" s="14">
        <v>90.176507251086505</v>
      </c>
      <c r="E28" s="57"/>
      <c r="F28" s="5"/>
      <c r="G28" s="18">
        <f t="shared" si="0"/>
        <v>1174408329432.134</v>
      </c>
      <c r="H28" s="19">
        <f t="shared" si="1"/>
        <v>11453638223601.566</v>
      </c>
      <c r="I28" s="5"/>
      <c r="J28" s="23">
        <v>62.9</v>
      </c>
      <c r="K28" s="5"/>
      <c r="L28" s="18">
        <f t="shared" si="3"/>
        <v>73870283.921281233</v>
      </c>
      <c r="M28" s="19">
        <f t="shared" si="4"/>
        <v>1032849090.3219283</v>
      </c>
      <c r="N28" s="5"/>
      <c r="O28" s="25">
        <f t="shared" si="5"/>
        <v>1106719374.2432096</v>
      </c>
      <c r="Q28" s="31">
        <f t="shared" si="6"/>
        <v>32033757.313490391</v>
      </c>
      <c r="R28" s="32">
        <f t="shared" si="7"/>
        <v>2.8130554749561529E-2</v>
      </c>
    </row>
    <row r="29" spans="1:18">
      <c r="A29" s="12">
        <v>2043</v>
      </c>
      <c r="B29" s="13">
        <v>12702681139361.301</v>
      </c>
      <c r="C29" s="13">
        <v>1145513470.8726101</v>
      </c>
      <c r="D29" s="14">
        <v>90.178873129630105</v>
      </c>
      <c r="E29" s="57"/>
      <c r="F29" s="5"/>
      <c r="G29" s="18">
        <f t="shared" si="0"/>
        <v>1181349345960.6011</v>
      </c>
      <c r="H29" s="19">
        <f t="shared" si="1"/>
        <v>11521331793400.699</v>
      </c>
      <c r="I29" s="5"/>
      <c r="J29" s="23">
        <v>62.9</v>
      </c>
      <c r="K29" s="5"/>
      <c r="L29" s="18">
        <f t="shared" si="3"/>
        <v>74306873.860921815</v>
      </c>
      <c r="M29" s="19">
        <f t="shared" si="4"/>
        <v>1038980718.0814553</v>
      </c>
      <c r="N29" s="5"/>
      <c r="O29" s="25">
        <f t="shared" si="5"/>
        <v>1113287591.9423771</v>
      </c>
      <c r="Q29" s="31">
        <f t="shared" si="6"/>
        <v>32225878.930233002</v>
      </c>
      <c r="R29" s="32">
        <f t="shared" si="7"/>
        <v>2.8132256625218479E-2</v>
      </c>
    </row>
    <row r="30" spans="1:18">
      <c r="A30" s="12">
        <v>2044</v>
      </c>
      <c r="B30" s="13">
        <v>12805629639401.699</v>
      </c>
      <c r="C30" s="13">
        <v>1154875341.13592</v>
      </c>
      <c r="D30" s="14">
        <v>90.184971270953497</v>
      </c>
      <c r="E30" s="57"/>
      <c r="F30" s="5"/>
      <c r="G30" s="18">
        <f t="shared" si="0"/>
        <v>1190923556464.3579</v>
      </c>
      <c r="H30" s="19">
        <f t="shared" si="1"/>
        <v>11614706082937.342</v>
      </c>
      <c r="I30" s="5"/>
      <c r="J30" s="23">
        <v>62.9</v>
      </c>
      <c r="K30" s="5"/>
      <c r="L30" s="18">
        <f t="shared" si="3"/>
        <v>74909091.701608106</v>
      </c>
      <c r="M30" s="19">
        <f t="shared" si="4"/>
        <v>1047471934.410273</v>
      </c>
      <c r="N30" s="5"/>
      <c r="O30" s="25">
        <f t="shared" si="5"/>
        <v>1122381026.111881</v>
      </c>
      <c r="Q30" s="31">
        <f t="shared" si="6"/>
        <v>32494315.02403903</v>
      </c>
      <c r="R30" s="32">
        <f t="shared" si="7"/>
        <v>2.8136642862317984E-2</v>
      </c>
    </row>
    <row r="31" spans="1:18">
      <c r="A31" s="12">
        <v>2045</v>
      </c>
      <c r="B31" s="13">
        <v>12925870008575.199</v>
      </c>
      <c r="C31" s="13">
        <v>1165839518.7420199</v>
      </c>
      <c r="D31" s="14">
        <v>90.1942784484594</v>
      </c>
      <c r="E31" s="57">
        <f>B31/B8</f>
        <v>1.2123487041259342</v>
      </c>
      <c r="F31" s="5"/>
      <c r="G31" s="18">
        <f t="shared" si="0"/>
        <v>1202105910797.4934</v>
      </c>
      <c r="H31" s="19">
        <f t="shared" si="1"/>
        <v>11723764097777.707</v>
      </c>
      <c r="I31" s="5"/>
      <c r="J31" s="23">
        <v>34.64</v>
      </c>
      <c r="K31" s="5"/>
      <c r="L31" s="18">
        <f t="shared" si="3"/>
        <v>41640948.750025176</v>
      </c>
      <c r="M31" s="19">
        <f t="shared" si="4"/>
        <v>1057416443.4990139</v>
      </c>
      <c r="N31" s="5"/>
      <c r="O31" s="25">
        <f t="shared" si="5"/>
        <v>1099057392.2490392</v>
      </c>
      <c r="Q31" s="31">
        <f t="shared" si="6"/>
        <v>66782126.492980719</v>
      </c>
      <c r="R31" s="32">
        <f t="shared" si="7"/>
        <v>5.7282435034489897E-2</v>
      </c>
    </row>
    <row r="32" spans="1:18">
      <c r="A32" s="12">
        <v>2046</v>
      </c>
      <c r="B32" s="13">
        <v>13040887911296.301</v>
      </c>
      <c r="C32" s="13">
        <v>1176245749.9218099</v>
      </c>
      <c r="D32" s="14">
        <v>90.196753313316904</v>
      </c>
      <c r="E32" s="57"/>
      <c r="F32" s="5"/>
      <c r="G32" s="18">
        <f t="shared" si="0"/>
        <v>1212802575750.5559</v>
      </c>
      <c r="H32" s="19">
        <f t="shared" si="1"/>
        <v>11828085335545.746</v>
      </c>
      <c r="I32" s="5"/>
      <c r="J32" s="23">
        <v>34.64</v>
      </c>
      <c r="K32" s="5"/>
      <c r="L32" s="18">
        <f t="shared" si="3"/>
        <v>42011481.223999254</v>
      </c>
      <c r="M32" s="19">
        <f t="shared" si="4"/>
        <v>1066854895.1790808</v>
      </c>
      <c r="N32" s="5"/>
      <c r="O32" s="25">
        <f t="shared" si="5"/>
        <v>1108866376.40308</v>
      </c>
      <c r="Q32" s="31">
        <f t="shared" si="6"/>
        <v>67379373.518729925</v>
      </c>
      <c r="R32" s="32">
        <f t="shared" si="7"/>
        <v>5.7283415071390412E-2</v>
      </c>
    </row>
    <row r="33" spans="1:18">
      <c r="A33" s="12">
        <v>2047</v>
      </c>
      <c r="B33" s="13">
        <v>13135020004678</v>
      </c>
      <c r="C33" s="13">
        <v>1184899711.17592</v>
      </c>
      <c r="D33" s="14">
        <v>90.209204915860496</v>
      </c>
      <c r="E33" s="57"/>
      <c r="F33" s="5"/>
      <c r="G33" s="18">
        <f t="shared" si="0"/>
        <v>1221556860435.054</v>
      </c>
      <c r="H33" s="19">
        <f t="shared" si="1"/>
        <v>11913463144242.947</v>
      </c>
      <c r="I33" s="5"/>
      <c r="J33" s="23">
        <v>34.64</v>
      </c>
      <c r="K33" s="5"/>
      <c r="L33" s="18">
        <f t="shared" si="3"/>
        <v>42314729.645470276</v>
      </c>
      <c r="M33" s="19">
        <f t="shared" si="4"/>
        <v>1074704038.0365636</v>
      </c>
      <c r="N33" s="5"/>
      <c r="O33" s="25">
        <f t="shared" si="5"/>
        <v>1117018767.682034</v>
      </c>
      <c r="Q33" s="31">
        <f t="shared" si="6"/>
        <v>67880943.493885994</v>
      </c>
      <c r="R33" s="32">
        <f t="shared" si="7"/>
        <v>5.7288345041893445E-2</v>
      </c>
    </row>
    <row r="34" spans="1:18">
      <c r="A34" s="12">
        <v>2048</v>
      </c>
      <c r="B34" s="13">
        <v>13241851771730.699</v>
      </c>
      <c r="C34" s="13">
        <v>1194627710.3022299</v>
      </c>
      <c r="D34" s="14">
        <v>90.216061234922606</v>
      </c>
      <c r="E34" s="57"/>
      <c r="F34" s="5"/>
      <c r="G34" s="18">
        <f t="shared" si="0"/>
        <v>1231492214770.9551</v>
      </c>
      <c r="H34" s="19">
        <f t="shared" si="1"/>
        <v>12010359556959.744</v>
      </c>
      <c r="I34" s="5"/>
      <c r="J34" s="23">
        <v>34.64</v>
      </c>
      <c r="K34" s="5"/>
      <c r="L34" s="18">
        <f t="shared" si="3"/>
        <v>42658890.319665886</v>
      </c>
      <c r="M34" s="19">
        <f t="shared" si="4"/>
        <v>1083527333.2441182</v>
      </c>
      <c r="N34" s="5"/>
      <c r="O34" s="25">
        <f t="shared" si="5"/>
        <v>1126186223.5637841</v>
      </c>
      <c r="Q34" s="31">
        <f t="shared" si="6"/>
        <v>68441486.738445759</v>
      </c>
      <c r="R34" s="32">
        <f t="shared" si="7"/>
        <v>5.7291059087463063E-2</v>
      </c>
    </row>
    <row r="35" spans="1:18">
      <c r="A35" s="12">
        <v>2049</v>
      </c>
      <c r="B35" s="13">
        <v>13358262422749.5</v>
      </c>
      <c r="C35" s="13">
        <v>1205251339.23809</v>
      </c>
      <c r="D35" s="14">
        <v>90.225158115288494</v>
      </c>
      <c r="E35" s="57"/>
      <c r="F35" s="5"/>
      <c r="G35" s="18">
        <f t="shared" si="0"/>
        <v>1242318405315.7034</v>
      </c>
      <c r="H35" s="19">
        <f t="shared" si="1"/>
        <v>12115944017433.797</v>
      </c>
      <c r="I35" s="5"/>
      <c r="J35" s="23">
        <v>34.64</v>
      </c>
      <c r="K35" s="5"/>
      <c r="L35" s="18">
        <f t="shared" si="3"/>
        <v>43033909.560135968</v>
      </c>
      <c r="M35" s="19">
        <f t="shared" si="4"/>
        <v>1093162964.6889479</v>
      </c>
      <c r="N35" s="5"/>
      <c r="O35" s="25">
        <f t="shared" si="5"/>
        <v>1136196874.249084</v>
      </c>
      <c r="Q35" s="31">
        <f t="shared" si="6"/>
        <v>69054464.989006042</v>
      </c>
      <c r="R35" s="32">
        <f t="shared" si="7"/>
        <v>5.7294659413246879E-2</v>
      </c>
    </row>
    <row r="36" spans="1:18" ht="17.100000000000001" thickBot="1">
      <c r="A36" s="15">
        <v>2050</v>
      </c>
      <c r="B36" s="16">
        <v>13467587649583.301</v>
      </c>
      <c r="C36" s="16">
        <v>1215247533.6187301</v>
      </c>
      <c r="D36" s="17">
        <v>90.234982332291395</v>
      </c>
      <c r="E36" s="57">
        <f>B36/B8</f>
        <v>1.2631577157934377</v>
      </c>
      <c r="F36" s="5"/>
      <c r="G36" s="20">
        <f t="shared" si="0"/>
        <v>1252485651411.2471</v>
      </c>
      <c r="H36" s="21">
        <f t="shared" si="1"/>
        <v>12215101998172.055</v>
      </c>
      <c r="I36" s="5"/>
      <c r="J36" s="24">
        <v>18.23</v>
      </c>
      <c r="K36" s="5"/>
      <c r="L36" s="20">
        <f t="shared" si="3"/>
        <v>22832813.425227035</v>
      </c>
      <c r="M36" s="21">
        <f t="shared" si="4"/>
        <v>1102229512.9921925</v>
      </c>
      <c r="N36" s="5"/>
      <c r="O36" s="26">
        <f t="shared" si="5"/>
        <v>1125062326.4174194</v>
      </c>
      <c r="Q36" s="33">
        <f t="shared" si="6"/>
        <v>90185207.201310635</v>
      </c>
      <c r="R36" s="34">
        <f t="shared" si="7"/>
        <v>7.4211388796453392E-2</v>
      </c>
    </row>
    <row r="40" spans="1:18" ht="17.100000000000001" thickBot="1"/>
    <row r="41" spans="1:18">
      <c r="A41" s="9" t="s">
        <v>1</v>
      </c>
      <c r="B41" s="10" t="s">
        <v>13</v>
      </c>
      <c r="C41" s="11" t="s">
        <v>14</v>
      </c>
    </row>
    <row r="42" spans="1:18">
      <c r="A42" s="12">
        <v>2019</v>
      </c>
      <c r="B42" s="27">
        <f>C5/10^6</f>
        <v>899.24174113805407</v>
      </c>
      <c r="C42" s="28">
        <f>O5/10^6</f>
        <v>899.24174113805407</v>
      </c>
      <c r="D42" s="6">
        <f>C42/B42</f>
        <v>1</v>
      </c>
    </row>
    <row r="43" spans="1:18">
      <c r="A43" s="12">
        <v>2020</v>
      </c>
      <c r="B43" s="27">
        <f t="shared" ref="B43:B73" si="8">C6/10^6</f>
        <v>929.75209353054299</v>
      </c>
      <c r="C43" s="28">
        <f t="shared" ref="C43:C73" si="9">O6/10^6</f>
        <v>929.75209353053674</v>
      </c>
      <c r="D43" s="6">
        <f t="shared" ref="D43:D73" si="10">C43/B43</f>
        <v>0.99999999999999323</v>
      </c>
    </row>
    <row r="44" spans="1:18">
      <c r="A44" s="12">
        <v>2021</v>
      </c>
      <c r="B44" s="27">
        <f t="shared" si="8"/>
        <v>947.15979487435106</v>
      </c>
      <c r="C44" s="28">
        <f t="shared" si="9"/>
        <v>947.15979487434493</v>
      </c>
      <c r="D44" s="6">
        <f t="shared" si="10"/>
        <v>0.99999999999999356</v>
      </c>
    </row>
    <row r="45" spans="1:18">
      <c r="A45" s="12">
        <v>2022</v>
      </c>
      <c r="B45" s="27">
        <f t="shared" si="8"/>
        <v>956.25024908079695</v>
      </c>
      <c r="C45" s="28">
        <f t="shared" si="9"/>
        <v>956.2502490807907</v>
      </c>
      <c r="D45" s="6">
        <f t="shared" si="10"/>
        <v>0.99999999999999345</v>
      </c>
    </row>
    <row r="46" spans="1:18">
      <c r="A46" s="12">
        <v>2023</v>
      </c>
      <c r="B46" s="27">
        <f t="shared" si="8"/>
        <v>928.04271905604196</v>
      </c>
      <c r="C46" s="28">
        <f t="shared" si="9"/>
        <v>928.04271905603889</v>
      </c>
      <c r="D46" s="6">
        <f t="shared" si="10"/>
        <v>0.99999999999999667</v>
      </c>
    </row>
    <row r="47" spans="1:18">
      <c r="A47" s="12">
        <v>2024</v>
      </c>
      <c r="B47" s="27">
        <f t="shared" si="8"/>
        <v>938.70882135877503</v>
      </c>
      <c r="C47" s="28">
        <f t="shared" si="9"/>
        <v>938.70882135877264</v>
      </c>
      <c r="D47" s="6">
        <f t="shared" si="10"/>
        <v>0.99999999999999745</v>
      </c>
    </row>
    <row r="48" spans="1:18">
      <c r="A48" s="12">
        <v>2025</v>
      </c>
      <c r="B48" s="27">
        <f t="shared" si="8"/>
        <v>955.05199647311201</v>
      </c>
      <c r="C48" s="28">
        <f t="shared" si="9"/>
        <v>954.41741851739289</v>
      </c>
      <c r="D48" s="6">
        <f t="shared" si="10"/>
        <v>0.99933555664187657</v>
      </c>
    </row>
    <row r="49" spans="1:4">
      <c r="A49" s="12">
        <v>2026</v>
      </c>
      <c r="B49" s="27">
        <f t="shared" si="8"/>
        <v>969.76259823479609</v>
      </c>
      <c r="C49" s="28">
        <f t="shared" si="9"/>
        <v>969.10561127216374</v>
      </c>
      <c r="D49" s="6">
        <f t="shared" si="10"/>
        <v>0.99932252804570088</v>
      </c>
    </row>
    <row r="50" spans="1:4">
      <c r="A50" s="12">
        <v>2027</v>
      </c>
      <c r="B50" s="27">
        <f t="shared" si="8"/>
        <v>983.83351090877102</v>
      </c>
      <c r="C50" s="28">
        <f t="shared" si="9"/>
        <v>983.15016309324756</v>
      </c>
      <c r="D50" s="6">
        <f t="shared" si="10"/>
        <v>0.999305423318126</v>
      </c>
    </row>
    <row r="51" spans="1:4">
      <c r="A51" s="12">
        <v>2028</v>
      </c>
      <c r="B51" s="27">
        <f t="shared" si="8"/>
        <v>994.7777264565409</v>
      </c>
      <c r="C51" s="28">
        <f t="shared" si="9"/>
        <v>994.07419592706697</v>
      </c>
      <c r="D51" s="6">
        <f t="shared" si="10"/>
        <v>0.99929277615414658</v>
      </c>
    </row>
    <row r="52" spans="1:4">
      <c r="A52" s="12">
        <v>2029</v>
      </c>
      <c r="B52" s="27">
        <f t="shared" si="8"/>
        <v>1007.50599223301</v>
      </c>
      <c r="C52" s="28">
        <f t="shared" si="9"/>
        <v>1006.7814435991753</v>
      </c>
      <c r="D52" s="6">
        <f t="shared" si="10"/>
        <v>0.99928084930569117</v>
      </c>
    </row>
    <row r="53" spans="1:4">
      <c r="A53" s="12">
        <v>2030</v>
      </c>
      <c r="B53" s="27">
        <f t="shared" si="8"/>
        <v>1019.6611500241199</v>
      </c>
      <c r="C53" s="28">
        <f t="shared" si="9"/>
        <v>1015.069760718669</v>
      </c>
      <c r="D53" s="6">
        <f t="shared" si="10"/>
        <v>0.99549714206004392</v>
      </c>
    </row>
    <row r="54" spans="1:4">
      <c r="A54" s="12">
        <v>2031</v>
      </c>
      <c r="B54" s="27">
        <f t="shared" si="8"/>
        <v>1029.52957167053</v>
      </c>
      <c r="C54" s="28">
        <f t="shared" si="9"/>
        <v>1024.8805526377248</v>
      </c>
      <c r="D54" s="6">
        <f t="shared" si="10"/>
        <v>0.99548432686079946</v>
      </c>
    </row>
    <row r="55" spans="1:4">
      <c r="A55" s="12">
        <v>2032</v>
      </c>
      <c r="B55" s="27">
        <f t="shared" si="8"/>
        <v>1038.4371569274799</v>
      </c>
      <c r="C55" s="28">
        <f t="shared" si="9"/>
        <v>1033.7297923980582</v>
      </c>
      <c r="D55" s="6">
        <f t="shared" si="10"/>
        <v>0.99546687587398175</v>
      </c>
    </row>
    <row r="56" spans="1:4">
      <c r="A56" s="12">
        <v>2033</v>
      </c>
      <c r="B56" s="27">
        <f t="shared" si="8"/>
        <v>1048.08384330904</v>
      </c>
      <c r="C56" s="28">
        <f t="shared" si="9"/>
        <v>1043.3182229429351</v>
      </c>
      <c r="D56" s="6">
        <f t="shared" si="10"/>
        <v>0.99545301609548831</v>
      </c>
    </row>
    <row r="57" spans="1:4">
      <c r="A57" s="12">
        <v>2034</v>
      </c>
      <c r="B57" s="27">
        <f t="shared" si="8"/>
        <v>1059.2752274065799</v>
      </c>
      <c r="C57" s="28">
        <f t="shared" si="9"/>
        <v>1054.4445883945332</v>
      </c>
      <c r="D57" s="6">
        <f t="shared" si="10"/>
        <v>0.99543967527318322</v>
      </c>
    </row>
    <row r="58" spans="1:4">
      <c r="A58" s="12">
        <v>2035</v>
      </c>
      <c r="B58" s="27">
        <f t="shared" si="8"/>
        <v>1067.90223658127</v>
      </c>
      <c r="C58" s="28">
        <f t="shared" si="9"/>
        <v>1054.4758927005835</v>
      </c>
      <c r="D58" s="6">
        <f t="shared" si="10"/>
        <v>0.98742736608205917</v>
      </c>
    </row>
    <row r="59" spans="1:4">
      <c r="A59" s="12">
        <v>2036</v>
      </c>
      <c r="B59" s="27">
        <f t="shared" si="8"/>
        <v>1078.1710748928199</v>
      </c>
      <c r="C59" s="28">
        <f t="shared" si="9"/>
        <v>1064.6081881962327</v>
      </c>
      <c r="D59" s="6">
        <f t="shared" si="10"/>
        <v>0.98742046878048972</v>
      </c>
    </row>
    <row r="60" spans="1:4">
      <c r="A60" s="12">
        <v>2037</v>
      </c>
      <c r="B60" s="27">
        <f t="shared" si="8"/>
        <v>1088.1483735100001</v>
      </c>
      <c r="C60" s="28">
        <f t="shared" si="9"/>
        <v>1074.4474881813164</v>
      </c>
      <c r="D60" s="6">
        <f t="shared" si="10"/>
        <v>0.9874089915840345</v>
      </c>
    </row>
    <row r="61" spans="1:4">
      <c r="A61" s="12">
        <v>2038</v>
      </c>
      <c r="B61" s="27">
        <f t="shared" si="8"/>
        <v>1099.4144083077499</v>
      </c>
      <c r="C61" s="28">
        <f t="shared" si="9"/>
        <v>1085.5620471488853</v>
      </c>
      <c r="D61" s="6">
        <f t="shared" si="10"/>
        <v>0.98740023684045897</v>
      </c>
    </row>
    <row r="62" spans="1:4">
      <c r="A62" s="12">
        <v>2039</v>
      </c>
      <c r="B62" s="27">
        <f t="shared" si="8"/>
        <v>1108.9769404568301</v>
      </c>
      <c r="C62" s="28">
        <f t="shared" si="9"/>
        <v>1094.9977612348709</v>
      </c>
      <c r="D62" s="6">
        <f t="shared" si="10"/>
        <v>0.98739452669214145</v>
      </c>
    </row>
    <row r="63" spans="1:4">
      <c r="A63" s="12">
        <v>2040</v>
      </c>
      <c r="B63" s="27">
        <f t="shared" si="8"/>
        <v>1119.6821624551799</v>
      </c>
      <c r="C63" s="28">
        <f t="shared" si="9"/>
        <v>1088.1956974809721</v>
      </c>
      <c r="D63" s="6">
        <f t="shared" si="10"/>
        <v>0.97187910459771376</v>
      </c>
    </row>
    <row r="64" spans="1:4">
      <c r="A64" s="12">
        <v>2041</v>
      </c>
      <c r="B64" s="27">
        <f t="shared" si="8"/>
        <v>1128.50779805296</v>
      </c>
      <c r="C64" s="28">
        <f t="shared" si="9"/>
        <v>1096.7686995977892</v>
      </c>
      <c r="D64" s="6">
        <f t="shared" si="10"/>
        <v>0.97187516248453854</v>
      </c>
    </row>
    <row r="65" spans="1:4">
      <c r="A65" s="12">
        <v>2042</v>
      </c>
      <c r="B65" s="27">
        <f t="shared" si="8"/>
        <v>1138.7531315567001</v>
      </c>
      <c r="C65" s="28">
        <f t="shared" si="9"/>
        <v>1106.7193742432096</v>
      </c>
      <c r="D65" s="6">
        <f t="shared" si="10"/>
        <v>0.97186944525043839</v>
      </c>
    </row>
    <row r="66" spans="1:4">
      <c r="A66" s="12">
        <v>2043</v>
      </c>
      <c r="B66" s="27">
        <f t="shared" si="8"/>
        <v>1145.51347087261</v>
      </c>
      <c r="C66" s="28">
        <f t="shared" si="9"/>
        <v>1113.287591942377</v>
      </c>
      <c r="D66" s="6">
        <f t="shared" si="10"/>
        <v>0.97186774337478155</v>
      </c>
    </row>
    <row r="67" spans="1:4">
      <c r="A67" s="12">
        <v>2044</v>
      </c>
      <c r="B67" s="27">
        <f t="shared" si="8"/>
        <v>1154.8753411359201</v>
      </c>
      <c r="C67" s="28">
        <f t="shared" si="9"/>
        <v>1122.3810261118811</v>
      </c>
      <c r="D67" s="6">
        <f t="shared" si="10"/>
        <v>0.97186335713768202</v>
      </c>
    </row>
    <row r="68" spans="1:4">
      <c r="A68" s="12">
        <v>2045</v>
      </c>
      <c r="B68" s="27">
        <f t="shared" si="8"/>
        <v>1165.8395187420199</v>
      </c>
      <c r="C68" s="28">
        <f t="shared" si="9"/>
        <v>1099.0573922490391</v>
      </c>
      <c r="D68" s="6">
        <f t="shared" si="10"/>
        <v>0.94271756496551007</v>
      </c>
    </row>
    <row r="69" spans="1:4">
      <c r="A69" s="12">
        <v>2046</v>
      </c>
      <c r="B69" s="27">
        <f t="shared" si="8"/>
        <v>1176.2457499218099</v>
      </c>
      <c r="C69" s="28">
        <f t="shared" si="9"/>
        <v>1108.86637640308</v>
      </c>
      <c r="D69" s="6">
        <f t="shared" si="10"/>
        <v>0.94271658492860966</v>
      </c>
    </row>
    <row r="70" spans="1:4">
      <c r="A70" s="12">
        <v>2047</v>
      </c>
      <c r="B70" s="27">
        <f t="shared" si="8"/>
        <v>1184.8997111759199</v>
      </c>
      <c r="C70" s="28">
        <f t="shared" si="9"/>
        <v>1117.018767682034</v>
      </c>
      <c r="D70" s="6">
        <f t="shared" si="10"/>
        <v>0.9427116549581066</v>
      </c>
    </row>
    <row r="71" spans="1:4">
      <c r="A71" s="12">
        <v>2048</v>
      </c>
      <c r="B71" s="27">
        <f t="shared" si="8"/>
        <v>1194.6277103022298</v>
      </c>
      <c r="C71" s="28">
        <f t="shared" si="9"/>
        <v>1126.1862235637841</v>
      </c>
      <c r="D71" s="6">
        <f t="shared" si="10"/>
        <v>0.94270894091253699</v>
      </c>
    </row>
    <row r="72" spans="1:4">
      <c r="A72" s="12">
        <v>2049</v>
      </c>
      <c r="B72" s="27">
        <f t="shared" si="8"/>
        <v>1205.2513392380899</v>
      </c>
      <c r="C72" s="28">
        <f t="shared" si="9"/>
        <v>1136.196874249084</v>
      </c>
      <c r="D72" s="6">
        <f t="shared" si="10"/>
        <v>0.94270534058675315</v>
      </c>
    </row>
    <row r="73" spans="1:4" ht="17.100000000000001" thickBot="1">
      <c r="A73" s="15">
        <v>2050</v>
      </c>
      <c r="B73" s="29">
        <f t="shared" si="8"/>
        <v>1215.2475336187301</v>
      </c>
      <c r="C73" s="30">
        <f t="shared" si="9"/>
        <v>1125.0623264174194</v>
      </c>
      <c r="D73" s="6">
        <f t="shared" si="10"/>
        <v>0.9257886112035465</v>
      </c>
    </row>
    <row r="75" spans="1:4">
      <c r="D75" s="54"/>
    </row>
    <row r="78" spans="1:4" ht="17.100000000000001" thickBot="1">
      <c r="A78" t="s">
        <v>15</v>
      </c>
    </row>
    <row r="79" spans="1:4">
      <c r="A79" s="35"/>
      <c r="B79" s="36" t="s">
        <v>16</v>
      </c>
      <c r="C79" s="37" t="s">
        <v>17</v>
      </c>
    </row>
    <row r="80" spans="1:4" ht="17.100000000000001" thickBot="1">
      <c r="A80" s="38" t="s">
        <v>18</v>
      </c>
      <c r="B80" s="47">
        <f>SUM(B43:B73)/10^3</f>
        <v>33.077888952365335</v>
      </c>
      <c r="C80" s="48">
        <f>SUM(C43:C73)/10^3</f>
        <v>32.392717154804011</v>
      </c>
    </row>
    <row r="81" spans="1:3">
      <c r="B81" s="6">
        <f>B80/$B$80</f>
        <v>1</v>
      </c>
      <c r="C81" s="6">
        <f>C80/$B$80</f>
        <v>0.9792861086586262</v>
      </c>
    </row>
    <row r="83" spans="1:3" ht="17.100000000000001" thickBot="1">
      <c r="A83" t="s">
        <v>19</v>
      </c>
    </row>
    <row r="84" spans="1:3">
      <c r="A84" s="35"/>
      <c r="B84" s="37" t="s">
        <v>20</v>
      </c>
    </row>
    <row r="85" spans="1:3" ht="17.100000000000001" thickBot="1">
      <c r="A85" s="38" t="s">
        <v>18</v>
      </c>
      <c r="B85" s="48">
        <f>B80-C80</f>
        <v>0.68517179756132407</v>
      </c>
    </row>
    <row r="88" spans="1:3">
      <c r="A88" s="2" t="s">
        <v>21</v>
      </c>
      <c r="B88" s="2" t="s">
        <v>22</v>
      </c>
      <c r="C88" s="2" t="s">
        <v>23</v>
      </c>
    </row>
    <row r="89" spans="1:3">
      <c r="A89" s="2">
        <v>1.5</v>
      </c>
      <c r="B89" s="2">
        <v>480</v>
      </c>
      <c r="C89" s="4">
        <f>$C$80/B89</f>
        <v>6.7484827405841691E-2</v>
      </c>
    </row>
    <row r="90" spans="1:3">
      <c r="A90" s="2">
        <v>1.7</v>
      </c>
      <c r="B90" s="2">
        <v>840</v>
      </c>
      <c r="C90" s="4">
        <f t="shared" ref="C90:C91" si="11">$C$80/B90</f>
        <v>3.8562758517623821E-2</v>
      </c>
    </row>
    <row r="91" spans="1:3">
      <c r="A91" s="2">
        <v>2</v>
      </c>
      <c r="B91" s="2">
        <v>1380</v>
      </c>
      <c r="C91" s="4">
        <f t="shared" si="11"/>
        <v>2.3472983445510152E-2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B3833-B220-0745-A44A-9FF46ED2BA20}">
  <sheetPr filterMode="1"/>
  <dimension ref="A1:M65"/>
  <sheetViews>
    <sheetView workbookViewId="0">
      <selection activeCell="A68" sqref="A68"/>
    </sheetView>
  </sheetViews>
  <sheetFormatPr defaultColWidth="11.5546875" defaultRowHeight="15.95"/>
  <cols>
    <col min="1" max="1" width="16.33203125" customWidth="1"/>
  </cols>
  <sheetData>
    <row r="1" spans="1:13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  <c r="I1" t="s">
        <v>32</v>
      </c>
      <c r="J1" t="s">
        <v>33</v>
      </c>
      <c r="K1" t="s">
        <v>34</v>
      </c>
      <c r="L1" t="s">
        <v>35</v>
      </c>
      <c r="M1" t="s">
        <v>36</v>
      </c>
    </row>
    <row r="2" spans="1:13" hidden="1">
      <c r="A2" t="s">
        <v>37</v>
      </c>
      <c r="B2">
        <v>2019</v>
      </c>
      <c r="C2">
        <v>1080166509767.0699</v>
      </c>
      <c r="D2">
        <v>1123885086107.3601</v>
      </c>
      <c r="E2">
        <v>7633972262339</v>
      </c>
      <c r="F2">
        <v>61425526226.432503</v>
      </c>
      <c r="G2">
        <v>9899449384439.8691</v>
      </c>
      <c r="H2">
        <v>813233873.54094994</v>
      </c>
      <c r="I2">
        <v>958386601.67126703</v>
      </c>
      <c r="J2">
        <v>753588931.66406095</v>
      </c>
      <c r="K2">
        <v>580244153.70374799</v>
      </c>
      <c r="L2">
        <v>82.149404674890903</v>
      </c>
      <c r="M2">
        <v>96.812111911767204</v>
      </c>
    </row>
    <row r="3" spans="1:13" hidden="1">
      <c r="A3" t="s">
        <v>37</v>
      </c>
      <c r="B3">
        <v>2020</v>
      </c>
      <c r="C3">
        <v>1119119724341.9399</v>
      </c>
      <c r="D3">
        <v>1178982895262.4199</v>
      </c>
      <c r="E3">
        <v>8007978652939.9805</v>
      </c>
      <c r="F3">
        <v>63742105361.810699</v>
      </c>
      <c r="G3">
        <v>10369823377906.1</v>
      </c>
      <c r="H3">
        <v>833333454.93942904</v>
      </c>
      <c r="I3">
        <v>1006672164.86965</v>
      </c>
      <c r="J3">
        <v>772398818.64622605</v>
      </c>
      <c r="K3">
        <v>595121048.28401697</v>
      </c>
      <c r="L3">
        <v>80.361393301540701</v>
      </c>
      <c r="M3">
        <v>97.077079153967304</v>
      </c>
    </row>
    <row r="4" spans="1:13" hidden="1">
      <c r="A4" t="s">
        <v>37</v>
      </c>
      <c r="B4">
        <v>2021</v>
      </c>
      <c r="C4">
        <v>1126864375331.3201</v>
      </c>
      <c r="D4">
        <v>1186974564530.48</v>
      </c>
      <c r="E4">
        <v>8182982635985.4502</v>
      </c>
      <c r="F4">
        <v>64144463139.617203</v>
      </c>
      <c r="G4">
        <v>10560966038986.801</v>
      </c>
      <c r="H4">
        <v>848888410.37393105</v>
      </c>
      <c r="I4">
        <v>1025536826.4115601</v>
      </c>
      <c r="J4">
        <v>786315435.23036301</v>
      </c>
      <c r="K4">
        <v>607874513.27018094</v>
      </c>
      <c r="L4">
        <v>80.3798068510185</v>
      </c>
      <c r="M4">
        <v>97.106346391579507</v>
      </c>
    </row>
    <row r="5" spans="1:13" hidden="1">
      <c r="A5" t="s">
        <v>37</v>
      </c>
      <c r="B5">
        <v>2022</v>
      </c>
      <c r="C5">
        <v>1135811609783.52</v>
      </c>
      <c r="D5">
        <v>1191110387891.1699</v>
      </c>
      <c r="E5">
        <v>8270183688322.7695</v>
      </c>
      <c r="F5">
        <v>64736046983.486504</v>
      </c>
      <c r="G5">
        <v>10661841732980.9</v>
      </c>
      <c r="H5">
        <v>857139223.79548395</v>
      </c>
      <c r="I5">
        <v>1035411183.8578399</v>
      </c>
      <c r="J5">
        <v>794016519.44492805</v>
      </c>
      <c r="K5">
        <v>614542998.671538</v>
      </c>
      <c r="L5">
        <v>80.393167077695395</v>
      </c>
      <c r="M5">
        <v>97.113726670218696</v>
      </c>
    </row>
    <row r="6" spans="1:13" hidden="1">
      <c r="A6" t="s">
        <v>37</v>
      </c>
      <c r="B6">
        <v>2023</v>
      </c>
      <c r="C6">
        <v>1199795829811.8799</v>
      </c>
      <c r="D6">
        <v>1219336623595.28</v>
      </c>
      <c r="E6">
        <v>7826134072157.8203</v>
      </c>
      <c r="F6">
        <v>72627018391.145294</v>
      </c>
      <c r="G6">
        <v>10317893543956.1</v>
      </c>
      <c r="H6">
        <v>833378498.83713901</v>
      </c>
      <c r="I6">
        <v>1005626660.52607</v>
      </c>
      <c r="J6">
        <v>769633525.25263298</v>
      </c>
      <c r="K6">
        <v>582807328.48741698</v>
      </c>
      <c r="L6">
        <v>80.770216836100403</v>
      </c>
      <c r="M6">
        <v>97.464337681128299</v>
      </c>
    </row>
    <row r="7" spans="1:13" hidden="1">
      <c r="A7" t="s">
        <v>37</v>
      </c>
      <c r="B7">
        <v>2024</v>
      </c>
      <c r="C7">
        <v>1214607163161.7</v>
      </c>
      <c r="D7">
        <v>1226222695808.76</v>
      </c>
      <c r="E7">
        <v>7918409308355.6201</v>
      </c>
      <c r="F7">
        <v>74553011176.633896</v>
      </c>
      <c r="G7">
        <v>10433792178502.699</v>
      </c>
      <c r="H7">
        <v>842845902.63419104</v>
      </c>
      <c r="I7">
        <v>1017169442.03497</v>
      </c>
      <c r="J7">
        <v>777891083.38299501</v>
      </c>
      <c r="K7">
        <v>589432714.52287698</v>
      </c>
      <c r="L7">
        <v>80.780399706517997</v>
      </c>
      <c r="M7">
        <v>97.4879913873215</v>
      </c>
    </row>
    <row r="8" spans="1:13" hidden="1">
      <c r="A8" t="s">
        <v>37</v>
      </c>
      <c r="B8">
        <v>2025</v>
      </c>
      <c r="C8">
        <v>1257405993340.1101</v>
      </c>
      <c r="D8">
        <v>1245755406878.23</v>
      </c>
      <c r="E8">
        <v>8032167513826.4199</v>
      </c>
      <c r="F8">
        <v>78378021196.353897</v>
      </c>
      <c r="G8">
        <v>10613706935241.1</v>
      </c>
      <c r="H8">
        <v>857363921.72229898</v>
      </c>
      <c r="I8">
        <v>1034842702.8891</v>
      </c>
      <c r="J8">
        <v>790950216.92564201</v>
      </c>
      <c r="K8">
        <v>597648278.16594601</v>
      </c>
      <c r="L8">
        <v>80.778933030038601</v>
      </c>
      <c r="M8">
        <v>97.500591377087702</v>
      </c>
    </row>
    <row r="9" spans="1:13" hidden="1">
      <c r="A9" t="s">
        <v>37</v>
      </c>
      <c r="B9">
        <v>2026</v>
      </c>
      <c r="C9">
        <v>1296497353524.1699</v>
      </c>
      <c r="D9">
        <v>1261809290357.8301</v>
      </c>
      <c r="E9">
        <v>8135454368922.3604</v>
      </c>
      <c r="F9">
        <v>81907470434.906693</v>
      </c>
      <c r="G9">
        <v>10775668483239.199</v>
      </c>
      <c r="H9">
        <v>870443448.246122</v>
      </c>
      <c r="I9">
        <v>1050761568.1203901</v>
      </c>
      <c r="J9">
        <v>802710706.15604901</v>
      </c>
      <c r="K9">
        <v>605114072.14063501</v>
      </c>
      <c r="L9">
        <v>80.778603165087006</v>
      </c>
      <c r="M9">
        <v>97.512425308441394</v>
      </c>
    </row>
    <row r="10" spans="1:13" hidden="1">
      <c r="A10" t="s">
        <v>37</v>
      </c>
      <c r="B10">
        <v>2027</v>
      </c>
      <c r="C10">
        <v>1331666740477.3201</v>
      </c>
      <c r="D10">
        <v>1277497354656</v>
      </c>
      <c r="E10">
        <v>8235785286155.0898</v>
      </c>
      <c r="F10">
        <v>85044853493.487701</v>
      </c>
      <c r="G10">
        <v>10929994234781.9</v>
      </c>
      <c r="H10">
        <v>882961972.633448</v>
      </c>
      <c r="I10">
        <v>1066009293.45429</v>
      </c>
      <c r="J10">
        <v>813848079.089939</v>
      </c>
      <c r="K10">
        <v>612303363.98215604</v>
      </c>
      <c r="L10">
        <v>80.783388688682606</v>
      </c>
      <c r="M10">
        <v>97.530636389723597</v>
      </c>
    </row>
    <row r="11" spans="1:13" hidden="1">
      <c r="A11" t="s">
        <v>37</v>
      </c>
      <c r="B11">
        <v>2028</v>
      </c>
      <c r="C11">
        <v>1361744058573.6101</v>
      </c>
      <c r="D11">
        <v>1290148757303.3</v>
      </c>
      <c r="E11">
        <v>8310474970899.2002</v>
      </c>
      <c r="F11">
        <v>87698052194.957199</v>
      </c>
      <c r="G11">
        <v>11050065838971</v>
      </c>
      <c r="H11">
        <v>892672788.63189602</v>
      </c>
      <c r="I11">
        <v>1077854727.78759</v>
      </c>
      <c r="J11">
        <v>822484867.81258798</v>
      </c>
      <c r="K11">
        <v>617628063.27844906</v>
      </c>
      <c r="L11">
        <v>80.784386413666496</v>
      </c>
      <c r="M11">
        <v>97.542833092110897</v>
      </c>
    </row>
    <row r="12" spans="1:13" hidden="1">
      <c r="A12" t="s">
        <v>37</v>
      </c>
      <c r="B12">
        <v>2029</v>
      </c>
      <c r="C12">
        <v>1390578014781.29</v>
      </c>
      <c r="D12">
        <v>1303386024304.4199</v>
      </c>
      <c r="E12">
        <v>8405925704410.8301</v>
      </c>
      <c r="F12">
        <v>90116375911.746399</v>
      </c>
      <c r="G12">
        <v>11190006119408.199</v>
      </c>
      <c r="H12">
        <v>903981702.63889599</v>
      </c>
      <c r="I12">
        <v>1091633302.6133201</v>
      </c>
      <c r="J12">
        <v>832597808.92841899</v>
      </c>
      <c r="K12">
        <v>624489272.08202899</v>
      </c>
      <c r="L12">
        <v>80.784737112073799</v>
      </c>
      <c r="M12">
        <v>97.554307921241005</v>
      </c>
    </row>
    <row r="13" spans="1:13" hidden="1">
      <c r="A13" t="s">
        <v>37</v>
      </c>
      <c r="B13">
        <v>2030</v>
      </c>
      <c r="C13">
        <v>1418558303007.1499</v>
      </c>
      <c r="D13">
        <v>1316018417449.1299</v>
      </c>
      <c r="E13">
        <v>8496188400299.79</v>
      </c>
      <c r="F13">
        <v>92509153327.088806</v>
      </c>
      <c r="G13">
        <v>11323274274083.1</v>
      </c>
      <c r="H13">
        <v>914788370.60546303</v>
      </c>
      <c r="I13">
        <v>1104796462.73739</v>
      </c>
      <c r="J13">
        <v>842213583.250458</v>
      </c>
      <c r="K13">
        <v>630965022.73516297</v>
      </c>
      <c r="L13">
        <v>80.788325749490994</v>
      </c>
      <c r="M13">
        <v>97.568639246517407</v>
      </c>
    </row>
    <row r="14" spans="1:13" hidden="1">
      <c r="A14" t="s">
        <v>37</v>
      </c>
      <c r="B14">
        <v>2031</v>
      </c>
      <c r="C14">
        <v>1439988318081.2</v>
      </c>
      <c r="D14">
        <v>1324929456292.5901</v>
      </c>
      <c r="E14">
        <v>8571890605074.4902</v>
      </c>
      <c r="F14">
        <v>94398525731.626404</v>
      </c>
      <c r="G14">
        <v>11431206905179.9</v>
      </c>
      <c r="H14">
        <v>923556110.57037497</v>
      </c>
      <c r="I14">
        <v>1115491509.1770401</v>
      </c>
      <c r="J14">
        <v>849944745.17760396</v>
      </c>
      <c r="K14">
        <v>636352748.862795</v>
      </c>
      <c r="L14">
        <v>80.792528578227007</v>
      </c>
      <c r="M14">
        <v>97.583004002103806</v>
      </c>
    </row>
    <row r="15" spans="1:13" hidden="1">
      <c r="A15" t="s">
        <v>37</v>
      </c>
      <c r="B15">
        <v>2032</v>
      </c>
      <c r="C15">
        <v>1461718483135.95</v>
      </c>
      <c r="D15">
        <v>1335548959439.0901</v>
      </c>
      <c r="E15">
        <v>8634363585541</v>
      </c>
      <c r="F15">
        <v>96205755995.399307</v>
      </c>
      <c r="G15">
        <v>11527836784111.4</v>
      </c>
      <c r="H15">
        <v>931538482.65105295</v>
      </c>
      <c r="I15">
        <v>1125192258.0141499</v>
      </c>
      <c r="J15">
        <v>856899097.15353596</v>
      </c>
      <c r="K15">
        <v>640808529.65163505</v>
      </c>
      <c r="L15">
        <v>80.8077439069029</v>
      </c>
      <c r="M15">
        <v>97.606539638466799</v>
      </c>
    </row>
    <row r="16" spans="1:13" hidden="1">
      <c r="A16" t="s">
        <v>37</v>
      </c>
      <c r="B16">
        <v>2033</v>
      </c>
      <c r="C16">
        <v>1481948166442.1299</v>
      </c>
      <c r="D16">
        <v>1341732585716.1201</v>
      </c>
      <c r="E16">
        <v>8711613557228.6299</v>
      </c>
      <c r="F16">
        <v>97808894790.822998</v>
      </c>
      <c r="G16">
        <v>11633103204177.699</v>
      </c>
      <c r="H16">
        <v>940164815.43893194</v>
      </c>
      <c r="I16">
        <v>1135674175.9976799</v>
      </c>
      <c r="J16">
        <v>864507666.02558696</v>
      </c>
      <c r="K16">
        <v>646374468.18103802</v>
      </c>
      <c r="L16">
        <v>80.818058512650097</v>
      </c>
      <c r="M16">
        <v>97.624353198366094</v>
      </c>
    </row>
    <row r="17" spans="1:13" hidden="1">
      <c r="A17" t="s">
        <v>37</v>
      </c>
      <c r="B17">
        <v>2034</v>
      </c>
      <c r="C17">
        <v>1501901060696.1101</v>
      </c>
      <c r="D17">
        <v>1350648318206.9199</v>
      </c>
      <c r="E17">
        <v>8803615875375.7695</v>
      </c>
      <c r="F17">
        <v>99382329317.309296</v>
      </c>
      <c r="G17">
        <v>11755547583596.1</v>
      </c>
      <c r="H17">
        <v>950137536.86540198</v>
      </c>
      <c r="I17">
        <v>1147820256.72614</v>
      </c>
      <c r="J17">
        <v>873310827.91969502</v>
      </c>
      <c r="K17">
        <v>652957642.35203004</v>
      </c>
      <c r="L17">
        <v>80.824608986419307</v>
      </c>
      <c r="M17">
        <v>97.640730775300796</v>
      </c>
    </row>
    <row r="18" spans="1:13" hidden="1">
      <c r="A18" t="s">
        <v>37</v>
      </c>
      <c r="B18">
        <v>2035</v>
      </c>
      <c r="C18">
        <v>1518885491670.1001</v>
      </c>
      <c r="D18">
        <v>1359119994472.9199</v>
      </c>
      <c r="E18">
        <v>8870575435410.4199</v>
      </c>
      <c r="F18">
        <v>100699903974.78999</v>
      </c>
      <c r="G18">
        <v>11849280825528.199</v>
      </c>
      <c r="H18">
        <v>957811672.08786404</v>
      </c>
      <c r="I18">
        <v>1157195415.66588</v>
      </c>
      <c r="J18">
        <v>879947713.02743304</v>
      </c>
      <c r="K18">
        <v>657648091.75826001</v>
      </c>
      <c r="L18">
        <v>80.832894940285499</v>
      </c>
      <c r="M18">
        <v>97.6595485164639</v>
      </c>
    </row>
    <row r="19" spans="1:13" hidden="1">
      <c r="A19" t="s">
        <v>37</v>
      </c>
      <c r="B19">
        <v>2036</v>
      </c>
      <c r="C19">
        <v>1538100358824.05</v>
      </c>
      <c r="D19">
        <v>1368325127131.1699</v>
      </c>
      <c r="E19">
        <v>8953567300984.1992</v>
      </c>
      <c r="F19">
        <v>102203563223.83299</v>
      </c>
      <c r="G19">
        <v>11962196350163.199</v>
      </c>
      <c r="H19">
        <v>966939884.71131003</v>
      </c>
      <c r="I19">
        <v>1168318412.7758999</v>
      </c>
      <c r="J19">
        <v>888074321.26126301</v>
      </c>
      <c r="K19">
        <v>663589611.53018498</v>
      </c>
      <c r="L19">
        <v>80.832972173886205</v>
      </c>
      <c r="M19">
        <v>97.667550220404394</v>
      </c>
    </row>
    <row r="20" spans="1:13" hidden="1">
      <c r="A20" t="s">
        <v>37</v>
      </c>
      <c r="B20">
        <v>2037</v>
      </c>
      <c r="C20">
        <v>1556103067936.45</v>
      </c>
      <c r="D20">
        <v>1376540071512.3799</v>
      </c>
      <c r="E20">
        <v>9034926476927.4805</v>
      </c>
      <c r="F20">
        <v>103600846668.87601</v>
      </c>
      <c r="G20">
        <v>12071170463045.199</v>
      </c>
      <c r="H20">
        <v>975859984.96992397</v>
      </c>
      <c r="I20">
        <v>1179167138.0678</v>
      </c>
      <c r="J20">
        <v>895923612.75800896</v>
      </c>
      <c r="K20">
        <v>669422170.17792904</v>
      </c>
      <c r="L20">
        <v>80.842200676183893</v>
      </c>
      <c r="M20">
        <v>97.684573478414805</v>
      </c>
    </row>
    <row r="21" spans="1:13" hidden="1">
      <c r="A21" t="s">
        <v>37</v>
      </c>
      <c r="B21">
        <v>2038</v>
      </c>
      <c r="C21">
        <v>1575897917116.0801</v>
      </c>
      <c r="D21">
        <v>1386947363590.5901</v>
      </c>
      <c r="E21">
        <v>9126841008265.5391</v>
      </c>
      <c r="F21">
        <v>105133935816.14101</v>
      </c>
      <c r="G21">
        <v>12194820224788.301</v>
      </c>
      <c r="H21">
        <v>985899554.83691204</v>
      </c>
      <c r="I21">
        <v>1191386224.2608099</v>
      </c>
      <c r="J21">
        <v>904841973.78676701</v>
      </c>
      <c r="K21">
        <v>676019569.60883605</v>
      </c>
      <c r="L21">
        <v>80.845763747535798</v>
      </c>
      <c r="M21">
        <v>97.6960875437168</v>
      </c>
    </row>
    <row r="22" spans="1:13" hidden="1">
      <c r="A22" t="s">
        <v>37</v>
      </c>
      <c r="B22">
        <v>2039</v>
      </c>
      <c r="C22">
        <v>1591188598164.8799</v>
      </c>
      <c r="D22">
        <v>1395364698083.9099</v>
      </c>
      <c r="E22">
        <v>9207203094847.8301</v>
      </c>
      <c r="F22">
        <v>106258817807.80499</v>
      </c>
      <c r="G22">
        <v>12300015208904.4</v>
      </c>
      <c r="H22">
        <v>994400996.69178295</v>
      </c>
      <c r="I22">
        <v>1201738554.33342</v>
      </c>
      <c r="J22">
        <v>912432524.67621601</v>
      </c>
      <c r="K22">
        <v>681797222.04210401</v>
      </c>
      <c r="L22">
        <v>80.845509521963706</v>
      </c>
      <c r="M22">
        <v>97.702200682113101</v>
      </c>
    </row>
    <row r="23" spans="1:13" hidden="1">
      <c r="A23" t="s">
        <v>37</v>
      </c>
      <c r="B23">
        <v>2040</v>
      </c>
      <c r="C23">
        <v>1608329305082.8701</v>
      </c>
      <c r="D23">
        <v>1403471079280.8</v>
      </c>
      <c r="E23">
        <v>9299069744394.0293</v>
      </c>
      <c r="F23">
        <v>107540410949.15601</v>
      </c>
      <c r="G23">
        <v>12418410539706.801</v>
      </c>
      <c r="H23">
        <v>1003912831.51789</v>
      </c>
      <c r="I23">
        <v>1213304844.3603799</v>
      </c>
      <c r="J23">
        <v>921052493.14561999</v>
      </c>
      <c r="K23">
        <v>688475680.29701602</v>
      </c>
      <c r="L23">
        <v>80.840686359012494</v>
      </c>
      <c r="M23">
        <v>97.702104506928706</v>
      </c>
    </row>
    <row r="24" spans="1:13" hidden="1">
      <c r="A24" t="s">
        <v>37</v>
      </c>
      <c r="B24">
        <v>2041</v>
      </c>
      <c r="C24">
        <v>1621403255025.4099</v>
      </c>
      <c r="D24">
        <v>1404946819331.7</v>
      </c>
      <c r="E24">
        <v>9380724414165.3906</v>
      </c>
      <c r="F24">
        <v>108460797689.311</v>
      </c>
      <c r="G24">
        <v>12515535286211.801</v>
      </c>
      <c r="H24">
        <v>1011749348.76248</v>
      </c>
      <c r="I24">
        <v>1222848942.5627201</v>
      </c>
      <c r="J24">
        <v>928069720.97803104</v>
      </c>
      <c r="K24">
        <v>694377272.06944597</v>
      </c>
      <c r="L24">
        <v>80.839478745836601</v>
      </c>
      <c r="M24">
        <v>97.706483550081799</v>
      </c>
    </row>
    <row r="25" spans="1:13" hidden="1">
      <c r="A25" t="s">
        <v>37</v>
      </c>
      <c r="B25">
        <v>2042</v>
      </c>
      <c r="C25">
        <v>1635294242509.5</v>
      </c>
      <c r="D25">
        <v>1408286130534.8601</v>
      </c>
      <c r="E25">
        <v>9474945901239.2109</v>
      </c>
      <c r="F25">
        <v>109520278750.131</v>
      </c>
      <c r="G25">
        <v>12628046553033.699</v>
      </c>
      <c r="H25">
        <v>1020927479.97624</v>
      </c>
      <c r="I25">
        <v>1233981160.33407</v>
      </c>
      <c r="J25">
        <v>936254741.89718795</v>
      </c>
      <c r="K25">
        <v>701230627.09414196</v>
      </c>
      <c r="L25">
        <v>80.846033920502407</v>
      </c>
      <c r="M25">
        <v>97.717501685771595</v>
      </c>
    </row>
    <row r="26" spans="1:13" hidden="1">
      <c r="A26" t="s">
        <v>37</v>
      </c>
      <c r="B26">
        <v>2043</v>
      </c>
      <c r="C26">
        <v>1646473753862.8601</v>
      </c>
      <c r="D26">
        <v>1409426262560.04</v>
      </c>
      <c r="E26">
        <v>9536432710599.3691</v>
      </c>
      <c r="F26">
        <v>110348412339.09</v>
      </c>
      <c r="G26">
        <v>12702681139361.301</v>
      </c>
      <c r="H26">
        <v>1026876968.12739</v>
      </c>
      <c r="I26">
        <v>1241272754.2866299</v>
      </c>
      <c r="J26">
        <v>941557186.97130597</v>
      </c>
      <c r="K26">
        <v>705593162.98274004</v>
      </c>
      <c r="L26">
        <v>80.839387910434397</v>
      </c>
      <c r="M26">
        <v>97.717382705950698</v>
      </c>
    </row>
    <row r="27" spans="1:13" hidden="1">
      <c r="A27" t="s">
        <v>37</v>
      </c>
      <c r="B27">
        <v>2044</v>
      </c>
      <c r="C27">
        <v>1660153330395.23</v>
      </c>
      <c r="D27">
        <v>1411627432246.8501</v>
      </c>
      <c r="E27">
        <v>9622545437480.5996</v>
      </c>
      <c r="F27">
        <v>111303439279.07401</v>
      </c>
      <c r="G27">
        <v>12805629639401.699</v>
      </c>
      <c r="H27">
        <v>1035219442.86646</v>
      </c>
      <c r="I27">
        <v>1251427017.5553601</v>
      </c>
      <c r="J27">
        <v>948973700.921826</v>
      </c>
      <c r="K27">
        <v>711798758.71254694</v>
      </c>
      <c r="L27">
        <v>80.840963858675494</v>
      </c>
      <c r="M27">
        <v>97.724754876935805</v>
      </c>
    </row>
    <row r="28" spans="1:13" hidden="1">
      <c r="A28" t="s">
        <v>37</v>
      </c>
      <c r="B28">
        <v>2045</v>
      </c>
      <c r="C28">
        <v>1676355661592.28</v>
      </c>
      <c r="D28">
        <v>1417653120010.3601</v>
      </c>
      <c r="E28">
        <v>9719473892957.9805</v>
      </c>
      <c r="F28">
        <v>112387334014.592</v>
      </c>
      <c r="G28">
        <v>12925870008575.199</v>
      </c>
      <c r="H28">
        <v>1045082379.3011301</v>
      </c>
      <c r="I28">
        <v>1263366254.54972</v>
      </c>
      <c r="J28">
        <v>957752134.036865</v>
      </c>
      <c r="K28">
        <v>718869550.06405795</v>
      </c>
      <c r="L28">
        <v>80.851995154508799</v>
      </c>
      <c r="M28">
        <v>97.739359417322206</v>
      </c>
    </row>
    <row r="29" spans="1:13" hidden="1">
      <c r="A29" t="s">
        <v>37</v>
      </c>
      <c r="B29">
        <v>2046</v>
      </c>
      <c r="C29">
        <v>1689826814816.5601</v>
      </c>
      <c r="D29">
        <v>1420058967498.3401</v>
      </c>
      <c r="E29">
        <v>9817668100076.3301</v>
      </c>
      <c r="F29">
        <v>113334028905.086</v>
      </c>
      <c r="G29">
        <v>13040887911296.301</v>
      </c>
      <c r="H29">
        <v>1054340519.48436</v>
      </c>
      <c r="I29">
        <v>1274628260.11883</v>
      </c>
      <c r="J29">
        <v>966096859.41480601</v>
      </c>
      <c r="K29">
        <v>725999139.40454805</v>
      </c>
      <c r="L29">
        <v>80.848829209786103</v>
      </c>
      <c r="M29">
        <v>97.740910648784805</v>
      </c>
    </row>
    <row r="30" spans="1:13" hidden="1">
      <c r="A30" t="s">
        <v>37</v>
      </c>
      <c r="B30">
        <v>2047</v>
      </c>
      <c r="C30">
        <v>1702499165299.03</v>
      </c>
      <c r="D30">
        <v>1422597952329.05</v>
      </c>
      <c r="E30">
        <v>9895722026173.3906</v>
      </c>
      <c r="F30">
        <v>114200860876.548</v>
      </c>
      <c r="G30">
        <v>13135020004678</v>
      </c>
      <c r="H30">
        <v>1062103544.42167</v>
      </c>
      <c r="I30">
        <v>1284055430.7296801</v>
      </c>
      <c r="J30">
        <v>972864841.08819306</v>
      </c>
      <c r="K30">
        <v>731603082.72498</v>
      </c>
      <c r="L30">
        <v>80.860443611308398</v>
      </c>
      <c r="M30">
        <v>97.758163312455494</v>
      </c>
    </row>
    <row r="31" spans="1:13" hidden="1">
      <c r="A31" t="s">
        <v>37</v>
      </c>
      <c r="B31">
        <v>2048</v>
      </c>
      <c r="C31">
        <v>1713392330801.49</v>
      </c>
      <c r="D31">
        <v>1422413372725.49</v>
      </c>
      <c r="E31">
        <v>9991002354660.0391</v>
      </c>
      <c r="F31">
        <v>115043713543.75301</v>
      </c>
      <c r="G31">
        <v>13241851771730.699</v>
      </c>
      <c r="H31">
        <v>1070791957.90965</v>
      </c>
      <c r="I31">
        <v>1294628404.40223</v>
      </c>
      <c r="J31">
        <v>980546896.28812397</v>
      </c>
      <c r="K31">
        <v>738468040.56304502</v>
      </c>
      <c r="L31">
        <v>80.864215697960404</v>
      </c>
      <c r="M31">
        <v>97.767927531559593</v>
      </c>
    </row>
    <row r="32" spans="1:13" hidden="1">
      <c r="A32" t="s">
        <v>37</v>
      </c>
      <c r="B32">
        <v>2049</v>
      </c>
      <c r="C32">
        <v>1725857290439.5901</v>
      </c>
      <c r="D32">
        <v>1424904354396.4099</v>
      </c>
      <c r="E32">
        <v>10091576222566.9</v>
      </c>
      <c r="F32">
        <v>115924555346.64</v>
      </c>
      <c r="G32">
        <v>13358262422749.5</v>
      </c>
      <c r="H32">
        <v>1080265824.9104099</v>
      </c>
      <c r="I32">
        <v>1306159916.9468901</v>
      </c>
      <c r="J32">
        <v>988911871.30356503</v>
      </c>
      <c r="K32">
        <v>745695516.96705699</v>
      </c>
      <c r="L32">
        <v>80.868738068110304</v>
      </c>
      <c r="M32">
        <v>97.779177830977503</v>
      </c>
    </row>
    <row r="33" spans="1:13" hidden="1">
      <c r="A33" t="s">
        <v>37</v>
      </c>
      <c r="B33">
        <v>2050</v>
      </c>
      <c r="C33">
        <v>1739963557364.96</v>
      </c>
      <c r="D33">
        <v>1429054894113.9199</v>
      </c>
      <c r="E33">
        <v>10181577290916.9</v>
      </c>
      <c r="F33">
        <v>116991907187.466</v>
      </c>
      <c r="G33">
        <v>13467587649583.301</v>
      </c>
      <c r="H33">
        <v>1089212759.82845</v>
      </c>
      <c r="I33">
        <v>1317042374.06144</v>
      </c>
      <c r="J33">
        <v>996777755.25337696</v>
      </c>
      <c r="K33">
        <v>752161891.57343197</v>
      </c>
      <c r="L33">
        <v>80.876604494358602</v>
      </c>
      <c r="M33">
        <v>97.793488212582105</v>
      </c>
    </row>
    <row r="34" spans="1:13">
      <c r="A34" t="s">
        <v>38</v>
      </c>
      <c r="B34">
        <v>2019</v>
      </c>
      <c r="C34">
        <v>1080166509767.0699</v>
      </c>
      <c r="D34">
        <v>1123885086107.3601</v>
      </c>
      <c r="E34">
        <v>7633972262339</v>
      </c>
      <c r="F34">
        <v>61425526226.432503</v>
      </c>
      <c r="G34">
        <v>9899449384439.8691</v>
      </c>
      <c r="H34">
        <v>770137802.37820399</v>
      </c>
      <c r="I34">
        <v>899241741.13805401</v>
      </c>
      <c r="J34">
        <v>753588931.66406095</v>
      </c>
      <c r="K34">
        <v>580244153.70374799</v>
      </c>
      <c r="L34">
        <v>77.796024048440501</v>
      </c>
      <c r="M34">
        <v>90.837551283559094</v>
      </c>
    </row>
    <row r="35" spans="1:13">
      <c r="A35" t="s">
        <v>38</v>
      </c>
      <c r="B35">
        <v>2020</v>
      </c>
      <c r="C35">
        <v>1119119724341.9399</v>
      </c>
      <c r="D35">
        <v>1178982895262.4199</v>
      </c>
      <c r="E35">
        <v>8007978652939.9805</v>
      </c>
      <c r="F35">
        <v>63742105361.810699</v>
      </c>
      <c r="G35">
        <v>10369823377906.1</v>
      </c>
      <c r="H35">
        <v>789335938.11044502</v>
      </c>
      <c r="I35">
        <v>929752093.53054297</v>
      </c>
      <c r="J35">
        <v>772398818.64622605</v>
      </c>
      <c r="K35">
        <v>595121048.28401697</v>
      </c>
      <c r="L35">
        <v>76.118551815665001</v>
      </c>
      <c r="M35">
        <v>89.659395309611796</v>
      </c>
    </row>
    <row r="36" spans="1:13">
      <c r="A36" t="s">
        <v>38</v>
      </c>
      <c r="B36">
        <v>2021</v>
      </c>
      <c r="C36">
        <v>1126864375331.3201</v>
      </c>
      <c r="D36">
        <v>1186974564530.48</v>
      </c>
      <c r="E36">
        <v>8182982635985.4502</v>
      </c>
      <c r="F36">
        <v>64144463139.617203</v>
      </c>
      <c r="G36">
        <v>10560966038986.801</v>
      </c>
      <c r="H36">
        <v>803967346.61861706</v>
      </c>
      <c r="I36">
        <v>947159794.87435102</v>
      </c>
      <c r="J36">
        <v>786315435.23036301</v>
      </c>
      <c r="K36">
        <v>607874513.27018094</v>
      </c>
      <c r="L36">
        <v>76.126307352063293</v>
      </c>
      <c r="M36">
        <v>89.684957926937301</v>
      </c>
    </row>
    <row r="37" spans="1:13">
      <c r="A37" t="s">
        <v>38</v>
      </c>
      <c r="B37">
        <v>2022</v>
      </c>
      <c r="C37">
        <v>1135811609783.52</v>
      </c>
      <c r="D37">
        <v>1191110387891.1699</v>
      </c>
      <c r="E37">
        <v>8270183688322.7695</v>
      </c>
      <c r="F37">
        <v>64736046983.486504</v>
      </c>
      <c r="G37">
        <v>10661841732980.9</v>
      </c>
      <c r="H37">
        <v>811787342.22082102</v>
      </c>
      <c r="I37">
        <v>956250249.08079696</v>
      </c>
      <c r="J37">
        <v>794016519.44492805</v>
      </c>
      <c r="K37">
        <v>614542998.671538</v>
      </c>
      <c r="L37">
        <v>76.139504088647897</v>
      </c>
      <c r="M37">
        <v>89.689030566151203</v>
      </c>
    </row>
    <row r="38" spans="1:13">
      <c r="A38" t="s">
        <v>38</v>
      </c>
      <c r="B38">
        <v>2023</v>
      </c>
      <c r="C38">
        <v>1199795829811.8799</v>
      </c>
      <c r="D38">
        <v>1219336623595.28</v>
      </c>
      <c r="E38">
        <v>7826134072157.8203</v>
      </c>
      <c r="F38">
        <v>72627018391.145294</v>
      </c>
      <c r="G38">
        <v>10317893543956.1</v>
      </c>
      <c r="H38">
        <v>788883943.315521</v>
      </c>
      <c r="I38">
        <v>928042719.05604196</v>
      </c>
      <c r="J38">
        <v>769633525.25263298</v>
      </c>
      <c r="K38">
        <v>582807328.48741698</v>
      </c>
      <c r="L38">
        <v>76.457848683428296</v>
      </c>
      <c r="M38">
        <v>89.9449790892306</v>
      </c>
    </row>
    <row r="39" spans="1:13">
      <c r="A39" t="s">
        <v>38</v>
      </c>
      <c r="B39">
        <v>2024</v>
      </c>
      <c r="C39">
        <v>1214607163161.7</v>
      </c>
      <c r="D39">
        <v>1226222695808.76</v>
      </c>
      <c r="E39">
        <v>7918409308355.6201</v>
      </c>
      <c r="F39">
        <v>74553011176.633896</v>
      </c>
      <c r="G39">
        <v>10433792178502.699</v>
      </c>
      <c r="H39">
        <v>797771270.28358102</v>
      </c>
      <c r="I39">
        <v>938708821.35877502</v>
      </c>
      <c r="J39">
        <v>777891083.38299501</v>
      </c>
      <c r="K39">
        <v>589432714.52287698</v>
      </c>
      <c r="L39">
        <v>76.460337395570306</v>
      </c>
      <c r="M39">
        <v>89.968134816106897</v>
      </c>
    </row>
    <row r="40" spans="1:13">
      <c r="A40" t="s">
        <v>38</v>
      </c>
      <c r="B40">
        <v>2025</v>
      </c>
      <c r="C40">
        <v>1257405993340.1101</v>
      </c>
      <c r="D40">
        <v>1245755406878.23</v>
      </c>
      <c r="E40">
        <v>8032167513826.4199</v>
      </c>
      <c r="F40">
        <v>78378021196.353897</v>
      </c>
      <c r="G40">
        <v>10613706935241.1</v>
      </c>
      <c r="H40">
        <v>811496316.48289502</v>
      </c>
      <c r="I40">
        <v>955051996.47311199</v>
      </c>
      <c r="J40">
        <v>790950216.92564201</v>
      </c>
      <c r="K40">
        <v>597648278.16594601</v>
      </c>
      <c r="L40">
        <v>76.457388679957802</v>
      </c>
      <c r="M40">
        <v>89.982887439826797</v>
      </c>
    </row>
    <row r="41" spans="1:13">
      <c r="A41" t="s">
        <v>38</v>
      </c>
      <c r="B41">
        <v>2026</v>
      </c>
      <c r="C41">
        <v>1296497353524.1699</v>
      </c>
      <c r="D41">
        <v>1261809290357.8301</v>
      </c>
      <c r="E41">
        <v>8135454368922.3604</v>
      </c>
      <c r="F41">
        <v>81907470434.906693</v>
      </c>
      <c r="G41">
        <v>10775668483239.199</v>
      </c>
      <c r="H41">
        <v>823853364.24537897</v>
      </c>
      <c r="I41">
        <v>969762598.23479605</v>
      </c>
      <c r="J41">
        <v>802710706.15604901</v>
      </c>
      <c r="K41">
        <v>605114072.14063501</v>
      </c>
      <c r="L41">
        <v>76.454965696728607</v>
      </c>
      <c r="M41">
        <v>89.995585864875693</v>
      </c>
    </row>
    <row r="42" spans="1:13">
      <c r="A42" t="s">
        <v>38</v>
      </c>
      <c r="B42">
        <v>2027</v>
      </c>
      <c r="C42">
        <v>1331666740477.3201</v>
      </c>
      <c r="D42">
        <v>1277497354656</v>
      </c>
      <c r="E42">
        <v>8235785286155.0898</v>
      </c>
      <c r="F42">
        <v>85044853493.487701</v>
      </c>
      <c r="G42">
        <v>10929994234781.9</v>
      </c>
      <c r="H42">
        <v>835642840.28099704</v>
      </c>
      <c r="I42">
        <v>983833510.90877104</v>
      </c>
      <c r="J42">
        <v>813848079.089939</v>
      </c>
      <c r="K42">
        <v>612303363.98215604</v>
      </c>
      <c r="L42">
        <v>76.454097077359606</v>
      </c>
      <c r="M42">
        <v>90.012262566248396</v>
      </c>
    </row>
    <row r="43" spans="1:13">
      <c r="A43" t="s">
        <v>38</v>
      </c>
      <c r="B43">
        <v>2028</v>
      </c>
      <c r="C43">
        <v>1361744058573.6101</v>
      </c>
      <c r="D43">
        <v>1290148757303.3</v>
      </c>
      <c r="E43">
        <v>8310474970899.2002</v>
      </c>
      <c r="F43">
        <v>87698052194.957199</v>
      </c>
      <c r="G43">
        <v>11050065838971</v>
      </c>
      <c r="H43">
        <v>844797895.30690098</v>
      </c>
      <c r="I43">
        <v>994777726.45654094</v>
      </c>
      <c r="J43">
        <v>822484867.81258798</v>
      </c>
      <c r="K43">
        <v>617628063.27844906</v>
      </c>
      <c r="L43">
        <v>76.451842696492307</v>
      </c>
      <c r="M43">
        <v>90.024597224406094</v>
      </c>
    </row>
    <row r="44" spans="1:13">
      <c r="A44" t="s">
        <v>38</v>
      </c>
      <c r="B44">
        <v>2029</v>
      </c>
      <c r="C44">
        <v>1390578014781.29</v>
      </c>
      <c r="D44">
        <v>1303386024304.4199</v>
      </c>
      <c r="E44">
        <v>8405925704410.8301</v>
      </c>
      <c r="F44">
        <v>90116375911.746399</v>
      </c>
      <c r="G44">
        <v>11190006119408.199</v>
      </c>
      <c r="H44">
        <v>855462491.03743994</v>
      </c>
      <c r="I44">
        <v>1007505992.2330101</v>
      </c>
      <c r="J44">
        <v>832597808.92841899</v>
      </c>
      <c r="K44">
        <v>624489272.08202899</v>
      </c>
      <c r="L44">
        <v>76.448795640397293</v>
      </c>
      <c r="M44">
        <v>90.036232463319806</v>
      </c>
    </row>
    <row r="45" spans="1:13">
      <c r="A45" t="s">
        <v>38</v>
      </c>
      <c r="B45">
        <v>2030</v>
      </c>
      <c r="C45">
        <v>1418558303007.1499</v>
      </c>
      <c r="D45">
        <v>1316018417449.1299</v>
      </c>
      <c r="E45">
        <v>8496188400299.79</v>
      </c>
      <c r="F45">
        <v>92509153327.088806</v>
      </c>
      <c r="G45">
        <v>11323274274083.1</v>
      </c>
      <c r="H45">
        <v>865645169.18602002</v>
      </c>
      <c r="I45">
        <v>1019661150.02412</v>
      </c>
      <c r="J45">
        <v>842213583.250458</v>
      </c>
      <c r="K45">
        <v>630965022.73516297</v>
      </c>
      <c r="L45">
        <v>76.448308875403399</v>
      </c>
      <c r="M45">
        <v>90.050026639197</v>
      </c>
    </row>
    <row r="46" spans="1:13">
      <c r="A46" t="s">
        <v>38</v>
      </c>
      <c r="B46">
        <v>2031</v>
      </c>
      <c r="C46">
        <v>1439988318081.2</v>
      </c>
      <c r="D46">
        <v>1324929456292.5901</v>
      </c>
      <c r="E46">
        <v>8571890605074.4902</v>
      </c>
      <c r="F46">
        <v>94398525731.626404</v>
      </c>
      <c r="G46">
        <v>11431206905179.9</v>
      </c>
      <c r="H46">
        <v>873884740.01889503</v>
      </c>
      <c r="I46">
        <v>1029529571.67053</v>
      </c>
      <c r="J46">
        <v>849944745.17760396</v>
      </c>
      <c r="K46">
        <v>636352748.862795</v>
      </c>
      <c r="L46">
        <v>76.447285686247596</v>
      </c>
      <c r="M46">
        <v>90.063068598995798</v>
      </c>
    </row>
    <row r="47" spans="1:13">
      <c r="A47" t="s">
        <v>38</v>
      </c>
      <c r="B47">
        <v>2032</v>
      </c>
      <c r="C47">
        <v>1461718483135.95</v>
      </c>
      <c r="D47">
        <v>1335548959439.0901</v>
      </c>
      <c r="E47">
        <v>8634363585541</v>
      </c>
      <c r="F47">
        <v>96205755995.399307</v>
      </c>
      <c r="G47">
        <v>11527836784111.4</v>
      </c>
      <c r="H47">
        <v>881349141.99095798</v>
      </c>
      <c r="I47">
        <v>1038437156.92748</v>
      </c>
      <c r="J47">
        <v>856899097.15353596</v>
      </c>
      <c r="K47">
        <v>640808529.65163505</v>
      </c>
      <c r="L47">
        <v>76.453992062561198</v>
      </c>
      <c r="M47">
        <v>90.080834450981698</v>
      </c>
    </row>
    <row r="48" spans="1:13">
      <c r="A48" t="s">
        <v>38</v>
      </c>
      <c r="B48">
        <v>2033</v>
      </c>
      <c r="C48">
        <v>1481948166442.1299</v>
      </c>
      <c r="D48">
        <v>1341732585716.1201</v>
      </c>
      <c r="E48">
        <v>8711613557228.6299</v>
      </c>
      <c r="F48">
        <v>97808894790.822998</v>
      </c>
      <c r="G48">
        <v>11633103204177.699</v>
      </c>
      <c r="H48">
        <v>889439358.91758204</v>
      </c>
      <c r="I48">
        <v>1048083843.30904</v>
      </c>
      <c r="J48">
        <v>864507666.02558696</v>
      </c>
      <c r="K48">
        <v>646374468.18103802</v>
      </c>
      <c r="L48">
        <v>76.457617826184503</v>
      </c>
      <c r="M48">
        <v>90.094949293723204</v>
      </c>
    </row>
    <row r="49" spans="1:13">
      <c r="A49" t="s">
        <v>38</v>
      </c>
      <c r="B49">
        <v>2034</v>
      </c>
      <c r="C49">
        <v>1501901060696.1101</v>
      </c>
      <c r="D49">
        <v>1350648318206.9199</v>
      </c>
      <c r="E49">
        <v>8803615875375.7695</v>
      </c>
      <c r="F49">
        <v>99382329317.309296</v>
      </c>
      <c r="G49">
        <v>11755547583596.1</v>
      </c>
      <c r="H49">
        <v>898791658.66532099</v>
      </c>
      <c r="I49">
        <v>1059275227.40658</v>
      </c>
      <c r="J49">
        <v>873310827.91969502</v>
      </c>
      <c r="K49">
        <v>652957642.35203004</v>
      </c>
      <c r="L49">
        <v>76.4568092021089</v>
      </c>
      <c r="M49">
        <v>90.108539808448398</v>
      </c>
    </row>
    <row r="50" spans="1:13">
      <c r="A50" t="s">
        <v>38</v>
      </c>
      <c r="B50">
        <v>2035</v>
      </c>
      <c r="C50">
        <v>1518885491670.1001</v>
      </c>
      <c r="D50">
        <v>1359119994472.9199</v>
      </c>
      <c r="E50">
        <v>8870575435410.4199</v>
      </c>
      <c r="F50">
        <v>100699903974.78999</v>
      </c>
      <c r="G50">
        <v>11849280825528.199</v>
      </c>
      <c r="H50">
        <v>905957646.87744904</v>
      </c>
      <c r="I50">
        <v>1067902236.58127</v>
      </c>
      <c r="J50">
        <v>879947713.02743304</v>
      </c>
      <c r="K50">
        <v>657648091.75826001</v>
      </c>
      <c r="L50">
        <v>76.456762247177295</v>
      </c>
      <c r="M50">
        <v>90.123801799056693</v>
      </c>
    </row>
    <row r="51" spans="1:13">
      <c r="A51" t="s">
        <v>38</v>
      </c>
      <c r="B51">
        <v>2036</v>
      </c>
      <c r="C51">
        <v>1538100358824.05</v>
      </c>
      <c r="D51">
        <v>1368325127131.1699</v>
      </c>
      <c r="E51">
        <v>8953567300984.1992</v>
      </c>
      <c r="F51">
        <v>102203563223.83299</v>
      </c>
      <c r="G51">
        <v>11962196350163.199</v>
      </c>
      <c r="H51">
        <v>914541482.79856396</v>
      </c>
      <c r="I51">
        <v>1078171074.8928199</v>
      </c>
      <c r="J51">
        <v>888074321.26126301</v>
      </c>
      <c r="K51">
        <v>663589611.53018498</v>
      </c>
      <c r="L51">
        <v>76.452639300313905</v>
      </c>
      <c r="M51">
        <v>90.131531311815095</v>
      </c>
    </row>
    <row r="52" spans="1:13">
      <c r="A52" t="s">
        <v>38</v>
      </c>
      <c r="B52">
        <v>2037</v>
      </c>
      <c r="C52">
        <v>1556103067936.45</v>
      </c>
      <c r="D52">
        <v>1376540071512.3799</v>
      </c>
      <c r="E52">
        <v>9034926476927.4805</v>
      </c>
      <c r="F52">
        <v>103600846668.87601</v>
      </c>
      <c r="G52">
        <v>12071170463045.199</v>
      </c>
      <c r="H52">
        <v>922893404.95543694</v>
      </c>
      <c r="I52">
        <v>1088148373.51</v>
      </c>
      <c r="J52">
        <v>895923612.75800896</v>
      </c>
      <c r="K52">
        <v>669422170.17792904</v>
      </c>
      <c r="L52">
        <v>76.4543428311936</v>
      </c>
      <c r="M52">
        <v>90.144396257286601</v>
      </c>
    </row>
    <row r="53" spans="1:13">
      <c r="A53" t="s">
        <v>38</v>
      </c>
      <c r="B53">
        <v>2038</v>
      </c>
      <c r="C53">
        <v>1575897917116.0801</v>
      </c>
      <c r="D53">
        <v>1386947363590.5901</v>
      </c>
      <c r="E53">
        <v>9126841008265.5391</v>
      </c>
      <c r="F53">
        <v>105133935816.14101</v>
      </c>
      <c r="G53">
        <v>12194820224788.301</v>
      </c>
      <c r="H53">
        <v>932322844.00574994</v>
      </c>
      <c r="I53">
        <v>1099414408.30775</v>
      </c>
      <c r="J53">
        <v>904841973.78676701</v>
      </c>
      <c r="K53">
        <v>676019569.60883605</v>
      </c>
      <c r="L53">
        <v>76.452364759803501</v>
      </c>
      <c r="M53">
        <v>90.154212037744998</v>
      </c>
    </row>
    <row r="54" spans="1:13">
      <c r="A54" t="s">
        <v>38</v>
      </c>
      <c r="B54">
        <v>2039</v>
      </c>
      <c r="C54">
        <v>1591188598164.8799</v>
      </c>
      <c r="D54">
        <v>1395364698083.9099</v>
      </c>
      <c r="E54">
        <v>9207203094847.8301</v>
      </c>
      <c r="F54">
        <v>106258817807.80499</v>
      </c>
      <c r="G54">
        <v>12300015208904.4</v>
      </c>
      <c r="H54">
        <v>940322462.45519304</v>
      </c>
      <c r="I54">
        <v>1108976940.45683</v>
      </c>
      <c r="J54">
        <v>912432524.67621601</v>
      </c>
      <c r="K54">
        <v>681797222.04210401</v>
      </c>
      <c r="L54">
        <v>76.448886158649401</v>
      </c>
      <c r="M54">
        <v>90.160615383142201</v>
      </c>
    </row>
    <row r="55" spans="1:13">
      <c r="A55" t="s">
        <v>38</v>
      </c>
      <c r="B55">
        <v>2040</v>
      </c>
      <c r="C55">
        <v>1608329305082.8701</v>
      </c>
      <c r="D55">
        <v>1403471079280.8</v>
      </c>
      <c r="E55">
        <v>9299069744394.0293</v>
      </c>
      <c r="F55">
        <v>107540410949.15601</v>
      </c>
      <c r="G55">
        <v>12418410539706.801</v>
      </c>
      <c r="H55">
        <v>949311572.458166</v>
      </c>
      <c r="I55">
        <v>1119682162.4551799</v>
      </c>
      <c r="J55">
        <v>921052493.14561999</v>
      </c>
      <c r="K55">
        <v>688475680.29701602</v>
      </c>
      <c r="L55">
        <v>76.443887035528306</v>
      </c>
      <c r="M55">
        <v>90.163081569504698</v>
      </c>
    </row>
    <row r="56" spans="1:13">
      <c r="A56" t="s">
        <v>38</v>
      </c>
      <c r="B56">
        <v>2041</v>
      </c>
      <c r="C56">
        <v>1621403255025.4099</v>
      </c>
      <c r="D56">
        <v>1404946819331.7</v>
      </c>
      <c r="E56">
        <v>9380724414165.3906</v>
      </c>
      <c r="F56">
        <v>108460797689.311</v>
      </c>
      <c r="G56">
        <v>12515535286211.801</v>
      </c>
      <c r="H56">
        <v>956694400.65092897</v>
      </c>
      <c r="I56">
        <v>1128507798.0529599</v>
      </c>
      <c r="J56">
        <v>928069720.97803104</v>
      </c>
      <c r="K56">
        <v>694377272.06944597</v>
      </c>
      <c r="L56">
        <v>76.440549986296205</v>
      </c>
      <c r="M56">
        <v>90.168560292920404</v>
      </c>
    </row>
    <row r="57" spans="1:13">
      <c r="A57" t="s">
        <v>38</v>
      </c>
      <c r="B57">
        <v>2042</v>
      </c>
      <c r="C57">
        <v>1635294242509.5</v>
      </c>
      <c r="D57">
        <v>1408286130534.8601</v>
      </c>
      <c r="E57">
        <v>9474945901239.2109</v>
      </c>
      <c r="F57">
        <v>109520278750.131</v>
      </c>
      <c r="G57">
        <v>12628046553033.699</v>
      </c>
      <c r="H57">
        <v>965304453.95387697</v>
      </c>
      <c r="I57">
        <v>1138753131.5567</v>
      </c>
      <c r="J57">
        <v>936254741.89718795</v>
      </c>
      <c r="K57">
        <v>701230627.09414196</v>
      </c>
      <c r="L57">
        <v>76.441312589394499</v>
      </c>
      <c r="M57">
        <v>90.176507251086505</v>
      </c>
    </row>
    <row r="58" spans="1:13">
      <c r="A58" t="s">
        <v>38</v>
      </c>
      <c r="B58">
        <v>2043</v>
      </c>
      <c r="C58">
        <v>1646473753862.8601</v>
      </c>
      <c r="D58">
        <v>1409426262560.04</v>
      </c>
      <c r="E58">
        <v>9536432710599.3691</v>
      </c>
      <c r="F58">
        <v>110348412339.09</v>
      </c>
      <c r="G58">
        <v>12702681139361.301</v>
      </c>
      <c r="H58">
        <v>970909494.05111599</v>
      </c>
      <c r="I58">
        <v>1145513470.8726101</v>
      </c>
      <c r="J58">
        <v>941557186.97130597</v>
      </c>
      <c r="K58">
        <v>705593162.98274004</v>
      </c>
      <c r="L58">
        <v>76.433430344290898</v>
      </c>
      <c r="M58">
        <v>90.178873129630105</v>
      </c>
    </row>
    <row r="59" spans="1:13">
      <c r="A59" t="s">
        <v>38</v>
      </c>
      <c r="B59">
        <v>2044</v>
      </c>
      <c r="C59">
        <v>1660153330395.23</v>
      </c>
      <c r="D59">
        <v>1411627432246.8501</v>
      </c>
      <c r="E59">
        <v>9622545437480.5996</v>
      </c>
      <c r="F59">
        <v>111303439279.07401</v>
      </c>
      <c r="G59">
        <v>12805629639401.699</v>
      </c>
      <c r="H59">
        <v>978737625.39269805</v>
      </c>
      <c r="I59">
        <v>1154875341.13592</v>
      </c>
      <c r="J59">
        <v>948973700.921826</v>
      </c>
      <c r="K59">
        <v>711798758.71254694</v>
      </c>
      <c r="L59">
        <v>76.430261764030007</v>
      </c>
      <c r="M59">
        <v>90.184971270953497</v>
      </c>
    </row>
    <row r="60" spans="1:13">
      <c r="A60" t="s">
        <v>38</v>
      </c>
      <c r="B60">
        <v>2045</v>
      </c>
      <c r="C60">
        <v>1676355661592.28</v>
      </c>
      <c r="D60">
        <v>1417653120010.3601</v>
      </c>
      <c r="E60">
        <v>9719473892957.9805</v>
      </c>
      <c r="F60">
        <v>112387334014.592</v>
      </c>
      <c r="G60">
        <v>12925870008575.199</v>
      </c>
      <c r="H60">
        <v>987973267.63798702</v>
      </c>
      <c r="I60">
        <v>1165839518.7420199</v>
      </c>
      <c r="J60">
        <v>957752134.036865</v>
      </c>
      <c r="K60">
        <v>718869550.06405795</v>
      </c>
      <c r="L60">
        <v>76.433792617638105</v>
      </c>
      <c r="M60">
        <v>90.1942784484594</v>
      </c>
    </row>
    <row r="61" spans="1:13">
      <c r="A61" t="s">
        <v>38</v>
      </c>
      <c r="B61">
        <v>2046</v>
      </c>
      <c r="C61">
        <v>1689826814816.5601</v>
      </c>
      <c r="D61">
        <v>1420058967498.3401</v>
      </c>
      <c r="E61">
        <v>9817668100076.3301</v>
      </c>
      <c r="F61">
        <v>113334028905.086</v>
      </c>
      <c r="G61">
        <v>13040887911296.301</v>
      </c>
      <c r="H61">
        <v>996696090.65609097</v>
      </c>
      <c r="I61">
        <v>1176245749.9218099</v>
      </c>
      <c r="J61">
        <v>966096859.41480601</v>
      </c>
      <c r="K61">
        <v>725999139.40454805</v>
      </c>
      <c r="L61">
        <v>76.428545160082905</v>
      </c>
      <c r="M61">
        <v>90.196753313316904</v>
      </c>
    </row>
    <row r="62" spans="1:13">
      <c r="A62" t="s">
        <v>38</v>
      </c>
      <c r="B62">
        <v>2047</v>
      </c>
      <c r="C62">
        <v>1702499165299.03</v>
      </c>
      <c r="D62">
        <v>1422597952329.05</v>
      </c>
      <c r="E62">
        <v>9895722026173.3906</v>
      </c>
      <c r="F62">
        <v>114200860876.548</v>
      </c>
      <c r="G62">
        <v>13135020004678</v>
      </c>
      <c r="H62">
        <v>1003937879.37227</v>
      </c>
      <c r="I62">
        <v>1184899711.17592</v>
      </c>
      <c r="J62">
        <v>972864841.08819306</v>
      </c>
      <c r="K62">
        <v>731603082.72498</v>
      </c>
      <c r="L62">
        <v>76.432154577207996</v>
      </c>
      <c r="M62">
        <v>90.209204915860496</v>
      </c>
    </row>
    <row r="63" spans="1:13">
      <c r="A63" t="s">
        <v>38</v>
      </c>
      <c r="B63">
        <v>2048</v>
      </c>
      <c r="C63">
        <v>1713392330801.49</v>
      </c>
      <c r="D63">
        <v>1422413372725.49</v>
      </c>
      <c r="E63">
        <v>9991002354660.0391</v>
      </c>
      <c r="F63">
        <v>115043713543.75301</v>
      </c>
      <c r="G63">
        <v>13241851771730.699</v>
      </c>
      <c r="H63">
        <v>1012064350.04908</v>
      </c>
      <c r="I63">
        <v>1194627710.3022299</v>
      </c>
      <c r="J63">
        <v>980546896.28812397</v>
      </c>
      <c r="K63">
        <v>738468040.56304502</v>
      </c>
      <c r="L63">
        <v>76.429216056448993</v>
      </c>
      <c r="M63">
        <v>90.216061234922606</v>
      </c>
    </row>
    <row r="64" spans="1:13">
      <c r="A64" t="s">
        <v>38</v>
      </c>
      <c r="B64">
        <v>2049</v>
      </c>
      <c r="C64">
        <v>1725857290439.5901</v>
      </c>
      <c r="D64">
        <v>1424904354396.4099</v>
      </c>
      <c r="E64">
        <v>10091576222566.9</v>
      </c>
      <c r="F64">
        <v>115924555346.64</v>
      </c>
      <c r="G64">
        <v>13358262422749.5</v>
      </c>
      <c r="H64">
        <v>1020939221.37814</v>
      </c>
      <c r="I64">
        <v>1205251339.23809</v>
      </c>
      <c r="J64">
        <v>988911871.30356503</v>
      </c>
      <c r="K64">
        <v>745695516.96705699</v>
      </c>
      <c r="L64">
        <v>76.427546417972195</v>
      </c>
      <c r="M64">
        <v>90.225158115288494</v>
      </c>
    </row>
    <row r="65" spans="1:13">
      <c r="A65" t="s">
        <v>38</v>
      </c>
      <c r="B65">
        <v>2050</v>
      </c>
      <c r="C65">
        <v>1739963557364.96</v>
      </c>
      <c r="D65">
        <v>1429054894113.9199</v>
      </c>
      <c r="E65">
        <v>10181577290916.9</v>
      </c>
      <c r="F65">
        <v>116991907187.466</v>
      </c>
      <c r="G65">
        <v>13467587649583.301</v>
      </c>
      <c r="H65">
        <v>1029298913.66883</v>
      </c>
      <c r="I65">
        <v>1215247533.6187301</v>
      </c>
      <c r="J65">
        <v>996777755.25337696</v>
      </c>
      <c r="K65">
        <v>752161891.57343197</v>
      </c>
      <c r="L65">
        <v>76.427860760993696</v>
      </c>
      <c r="M65">
        <v>90.234982332291395</v>
      </c>
    </row>
  </sheetData>
  <autoFilter ref="A1:M65" xr:uid="{681B3833-B220-0745-A44A-9FF46ED2BA20}">
    <filterColumn colId="0">
      <filters>
        <filter val="Baseline_wo_bc"/>
      </filters>
    </filterColumn>
  </autoFilter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91781-1EE9-C545-81A6-D4368879CA51}">
  <dimension ref="A1:C36"/>
  <sheetViews>
    <sheetView zoomScale="120" zoomScaleNormal="120" workbookViewId="0">
      <selection activeCell="B36" sqref="B36"/>
    </sheetView>
  </sheetViews>
  <sheetFormatPr defaultColWidth="11.5546875" defaultRowHeight="15.95"/>
  <cols>
    <col min="1" max="1" width="30.6640625" customWidth="1"/>
    <col min="2" max="2" width="26.5546875" customWidth="1"/>
  </cols>
  <sheetData>
    <row r="1" spans="1:3">
      <c r="A1" s="1" t="s">
        <v>39</v>
      </c>
    </row>
    <row r="2" spans="1:3">
      <c r="A2" s="1" t="s">
        <v>40</v>
      </c>
    </row>
    <row r="4" spans="1:3">
      <c r="A4" s="2" t="s">
        <v>1</v>
      </c>
      <c r="B4" s="2" t="s">
        <v>41</v>
      </c>
      <c r="C4" s="2" t="s">
        <v>42</v>
      </c>
    </row>
    <row r="5" spans="1:3">
      <c r="A5" s="2">
        <v>2020</v>
      </c>
      <c r="B5" s="2">
        <v>0</v>
      </c>
      <c r="C5" s="2">
        <v>91.16</v>
      </c>
    </row>
    <row r="6" spans="1:3">
      <c r="A6" s="2">
        <v>2025</v>
      </c>
      <c r="B6" s="2">
        <v>0.02</v>
      </c>
      <c r="C6" s="3">
        <f>$C$5*(1-B6)</f>
        <v>89.336799999999997</v>
      </c>
    </row>
    <row r="7" spans="1:3">
      <c r="A7" s="2">
        <v>2026</v>
      </c>
      <c r="B7" s="2">
        <v>0.02</v>
      </c>
      <c r="C7" s="3">
        <f t="shared" ref="C7:C31" si="0">$C$5*(1-B7)</f>
        <v>89.336799999999997</v>
      </c>
    </row>
    <row r="8" spans="1:3">
      <c r="A8" s="2">
        <v>2027</v>
      </c>
      <c r="B8" s="2">
        <v>0.02</v>
      </c>
      <c r="C8" s="3">
        <f t="shared" si="0"/>
        <v>89.336799999999997</v>
      </c>
    </row>
    <row r="9" spans="1:3">
      <c r="A9" s="2">
        <v>2028</v>
      </c>
      <c r="B9" s="2">
        <v>0.02</v>
      </c>
      <c r="C9" s="3">
        <f t="shared" si="0"/>
        <v>89.336799999999997</v>
      </c>
    </row>
    <row r="10" spans="1:3">
      <c r="A10" s="2">
        <v>2029</v>
      </c>
      <c r="B10" s="2">
        <v>0.02</v>
      </c>
      <c r="C10" s="3">
        <f t="shared" si="0"/>
        <v>89.336799999999997</v>
      </c>
    </row>
    <row r="11" spans="1:3">
      <c r="A11" s="2">
        <v>2030</v>
      </c>
      <c r="B11" s="2">
        <v>0.06</v>
      </c>
      <c r="C11" s="3">
        <f t="shared" si="0"/>
        <v>85.690399999999997</v>
      </c>
    </row>
    <row r="12" spans="1:3">
      <c r="A12" s="2">
        <v>2031</v>
      </c>
      <c r="B12" s="2">
        <v>0.06</v>
      </c>
      <c r="C12" s="3">
        <f t="shared" si="0"/>
        <v>85.690399999999997</v>
      </c>
    </row>
    <row r="13" spans="1:3">
      <c r="A13" s="2">
        <v>2032</v>
      </c>
      <c r="B13" s="2">
        <v>0.06</v>
      </c>
      <c r="C13" s="3">
        <f t="shared" si="0"/>
        <v>85.690399999999997</v>
      </c>
    </row>
    <row r="14" spans="1:3">
      <c r="A14" s="2">
        <v>2033</v>
      </c>
      <c r="B14" s="2">
        <v>0.06</v>
      </c>
      <c r="C14" s="3">
        <f t="shared" si="0"/>
        <v>85.690399999999997</v>
      </c>
    </row>
    <row r="15" spans="1:3">
      <c r="A15" s="2">
        <v>2034</v>
      </c>
      <c r="B15" s="2">
        <v>0.06</v>
      </c>
      <c r="C15" s="3">
        <f t="shared" si="0"/>
        <v>85.690399999999997</v>
      </c>
    </row>
    <row r="16" spans="1:3">
      <c r="A16" s="2">
        <v>2035</v>
      </c>
      <c r="B16" s="2">
        <v>0.14499999999999999</v>
      </c>
      <c r="C16" s="3">
        <f t="shared" si="0"/>
        <v>77.941800000000001</v>
      </c>
    </row>
    <row r="17" spans="1:3">
      <c r="A17" s="2">
        <v>2036</v>
      </c>
      <c r="B17" s="2">
        <v>0.14499999999999999</v>
      </c>
      <c r="C17" s="3">
        <f t="shared" si="0"/>
        <v>77.941800000000001</v>
      </c>
    </row>
    <row r="18" spans="1:3">
      <c r="A18" s="2">
        <v>2037</v>
      </c>
      <c r="B18" s="2">
        <v>0.14499999999999999</v>
      </c>
      <c r="C18" s="3">
        <f t="shared" si="0"/>
        <v>77.941800000000001</v>
      </c>
    </row>
    <row r="19" spans="1:3">
      <c r="A19" s="2">
        <v>2038</v>
      </c>
      <c r="B19" s="2">
        <v>0.14499999999999999</v>
      </c>
      <c r="C19" s="3">
        <f t="shared" si="0"/>
        <v>77.941800000000001</v>
      </c>
    </row>
    <row r="20" spans="1:3">
      <c r="A20" s="2">
        <v>2039</v>
      </c>
      <c r="B20" s="2">
        <v>0.14499999999999999</v>
      </c>
      <c r="C20" s="3">
        <f t="shared" si="0"/>
        <v>77.941800000000001</v>
      </c>
    </row>
    <row r="21" spans="1:3">
      <c r="A21" s="2">
        <v>2040</v>
      </c>
      <c r="B21" s="2">
        <v>0.31</v>
      </c>
      <c r="C21" s="3">
        <f t="shared" si="0"/>
        <v>62.900399999999991</v>
      </c>
    </row>
    <row r="22" spans="1:3">
      <c r="A22" s="2">
        <v>2041</v>
      </c>
      <c r="B22" s="2">
        <v>0.31</v>
      </c>
      <c r="C22" s="3">
        <f t="shared" si="0"/>
        <v>62.900399999999991</v>
      </c>
    </row>
    <row r="23" spans="1:3">
      <c r="A23" s="2">
        <v>2042</v>
      </c>
      <c r="B23" s="2">
        <v>0.31</v>
      </c>
      <c r="C23" s="3">
        <f t="shared" si="0"/>
        <v>62.900399999999991</v>
      </c>
    </row>
    <row r="24" spans="1:3">
      <c r="A24" s="2">
        <v>2043</v>
      </c>
      <c r="B24" s="2">
        <v>0.31</v>
      </c>
      <c r="C24" s="3">
        <f t="shared" si="0"/>
        <v>62.900399999999991</v>
      </c>
    </row>
    <row r="25" spans="1:3">
      <c r="A25" s="2">
        <v>2044</v>
      </c>
      <c r="B25" s="2">
        <v>0.31</v>
      </c>
      <c r="C25" s="3">
        <f t="shared" si="0"/>
        <v>62.900399999999991</v>
      </c>
    </row>
    <row r="26" spans="1:3">
      <c r="A26" s="2">
        <v>2045</v>
      </c>
      <c r="B26" s="2">
        <v>0.62</v>
      </c>
      <c r="C26" s="3">
        <f t="shared" si="0"/>
        <v>34.640799999999999</v>
      </c>
    </row>
    <row r="27" spans="1:3">
      <c r="A27" s="2">
        <v>2046</v>
      </c>
      <c r="B27" s="2">
        <v>0.62</v>
      </c>
      <c r="C27" s="3">
        <f t="shared" si="0"/>
        <v>34.640799999999999</v>
      </c>
    </row>
    <row r="28" spans="1:3">
      <c r="A28" s="2">
        <v>2047</v>
      </c>
      <c r="B28" s="2">
        <v>0.62</v>
      </c>
      <c r="C28" s="3">
        <f t="shared" si="0"/>
        <v>34.640799999999999</v>
      </c>
    </row>
    <row r="29" spans="1:3">
      <c r="A29" s="2">
        <v>2048</v>
      </c>
      <c r="B29" s="2">
        <v>0.62</v>
      </c>
      <c r="C29" s="3">
        <f t="shared" si="0"/>
        <v>34.640799999999999</v>
      </c>
    </row>
    <row r="30" spans="1:3">
      <c r="A30" s="2">
        <v>2049</v>
      </c>
      <c r="B30" s="2">
        <v>0.62</v>
      </c>
      <c r="C30" s="3">
        <f t="shared" si="0"/>
        <v>34.640799999999999</v>
      </c>
    </row>
    <row r="31" spans="1:3">
      <c r="A31" s="2">
        <v>2050</v>
      </c>
      <c r="B31" s="2">
        <v>0.8</v>
      </c>
      <c r="C31" s="3">
        <f t="shared" si="0"/>
        <v>18.231999999999996</v>
      </c>
    </row>
    <row r="33" spans="1:3">
      <c r="A33" t="s">
        <v>43</v>
      </c>
    </row>
    <row r="34" spans="1:3">
      <c r="A34" s="2" t="s">
        <v>44</v>
      </c>
      <c r="B34" s="2">
        <f>(39+35)*0.5+45</f>
        <v>82</v>
      </c>
      <c r="C34">
        <f>0.5*(48+44)+36</f>
        <v>82</v>
      </c>
    </row>
    <row r="35" spans="1:3">
      <c r="A35" s="2" t="s">
        <v>45</v>
      </c>
      <c r="B35" s="2">
        <v>882</v>
      </c>
    </row>
    <row r="36" spans="1:3">
      <c r="A36" s="2" t="s">
        <v>46</v>
      </c>
      <c r="B36" s="4">
        <f>B34/B35</f>
        <v>9.297052154195011E-2</v>
      </c>
    </row>
  </sheetData>
  <hyperlinks>
    <hyperlink ref="A2" r:id="rId1" xr:uid="{6C3A3862-47B1-4442-93CF-F56EB35A350A}"/>
    <hyperlink ref="A1" r:id="rId2" xr:uid="{82AB2523-5805-DB4D-97D3-B84880A0881E}"/>
  </hyperlinks>
  <pageMargins left="0.7" right="0.7" top="0.75" bottom="0.75" header="0.3" footer="0.3"/>
  <drawing r:id="rId3"/>
  <legacy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14CCD-7B4D-2249-920A-FF15BA8C45C9}">
  <dimension ref="A1:J35"/>
  <sheetViews>
    <sheetView workbookViewId="0">
      <selection activeCell="B36" sqref="B36"/>
    </sheetView>
  </sheetViews>
  <sheetFormatPr defaultColWidth="11.5546875" defaultRowHeight="15.95"/>
  <sheetData>
    <row r="1" spans="1:10" ht="17.100000000000001" thickBot="1">
      <c r="A1" t="s">
        <v>47</v>
      </c>
      <c r="H1" t="s">
        <v>48</v>
      </c>
      <c r="I1" t="s">
        <v>49</v>
      </c>
      <c r="J1" t="s">
        <v>50</v>
      </c>
    </row>
    <row r="2" spans="1:10">
      <c r="A2" s="35" t="s">
        <v>1</v>
      </c>
      <c r="B2" s="36" t="s">
        <v>51</v>
      </c>
      <c r="C2" s="36" t="s">
        <v>52</v>
      </c>
      <c r="D2" s="36" t="s">
        <v>53</v>
      </c>
      <c r="E2" s="36" t="s">
        <v>54</v>
      </c>
      <c r="F2" s="37" t="s">
        <v>55</v>
      </c>
      <c r="G2" s="46" t="s">
        <v>56</v>
      </c>
      <c r="H2" t="s">
        <v>17</v>
      </c>
      <c r="I2" t="s">
        <v>17</v>
      </c>
      <c r="J2" t="s">
        <v>17</v>
      </c>
    </row>
    <row r="3" spans="1:10">
      <c r="A3" s="42">
        <v>2019</v>
      </c>
      <c r="B3" s="41">
        <v>899.24174113805407</v>
      </c>
      <c r="C3" s="41">
        <v>899.24174113805407</v>
      </c>
      <c r="D3" s="41">
        <v>899.24174113805407</v>
      </c>
      <c r="E3" s="41">
        <v>899.24174113805407</v>
      </c>
      <c r="F3" s="43">
        <v>899.24174113805407</v>
      </c>
      <c r="G3" s="40">
        <v>899</v>
      </c>
    </row>
    <row r="4" spans="1:10">
      <c r="A4" s="42">
        <v>2020</v>
      </c>
      <c r="B4" s="41">
        <v>929.75209353054299</v>
      </c>
      <c r="C4" s="41">
        <v>929.75209353053674</v>
      </c>
      <c r="D4" s="41">
        <v>930</v>
      </c>
      <c r="E4" s="41">
        <v>930</v>
      </c>
      <c r="F4" s="43">
        <v>930</v>
      </c>
      <c r="G4" s="40">
        <v>899</v>
      </c>
      <c r="H4" t="b">
        <f>SUM(C$4:C4)&gt;28290</f>
        <v>0</v>
      </c>
      <c r="I4" t="b">
        <f>SUM(C$4:C4)&gt;17220</f>
        <v>0</v>
      </c>
      <c r="J4" t="b">
        <f>SUM(C$4:C4)&gt;9840</f>
        <v>0</v>
      </c>
    </row>
    <row r="5" spans="1:10">
      <c r="A5" s="42">
        <v>2021</v>
      </c>
      <c r="B5" s="41">
        <v>947.15979487435106</v>
      </c>
      <c r="C5" s="41">
        <v>947.15979487434493</v>
      </c>
      <c r="D5" s="41">
        <v>947</v>
      </c>
      <c r="E5" s="41">
        <v>947</v>
      </c>
      <c r="F5" s="43">
        <v>947</v>
      </c>
      <c r="G5" s="40">
        <v>899</v>
      </c>
      <c r="H5" t="b">
        <f>SUM(C$4:C5)&gt;28290</f>
        <v>0</v>
      </c>
      <c r="I5" t="b">
        <f>SUM(C$4:C5)&gt;17220</f>
        <v>0</v>
      </c>
      <c r="J5" t="b">
        <f>SUM(C$4:C5)&gt;9840</f>
        <v>0</v>
      </c>
    </row>
    <row r="6" spans="1:10">
      <c r="A6" s="42">
        <v>2022</v>
      </c>
      <c r="B6" s="41">
        <v>956.25024908079695</v>
      </c>
      <c r="C6" s="41">
        <v>956.2502490807907</v>
      </c>
      <c r="D6" s="41">
        <v>956</v>
      </c>
      <c r="E6" s="41">
        <v>956</v>
      </c>
      <c r="F6" s="43">
        <v>956</v>
      </c>
      <c r="G6" s="40">
        <v>899</v>
      </c>
      <c r="H6" t="b">
        <f>SUM(C$4:C6)&gt;28290</f>
        <v>0</v>
      </c>
      <c r="I6" t="b">
        <f>SUM(C$4:C6)&gt;17220</f>
        <v>0</v>
      </c>
      <c r="J6" t="b">
        <f>SUM(C$4:C6)&gt;9840</f>
        <v>0</v>
      </c>
    </row>
    <row r="7" spans="1:10">
      <c r="A7" s="42">
        <v>2023</v>
      </c>
      <c r="B7" s="41">
        <v>928.04271905604196</v>
      </c>
      <c r="C7" s="41">
        <v>928.04271905603889</v>
      </c>
      <c r="D7" s="41">
        <v>928</v>
      </c>
      <c r="E7" s="41">
        <v>928</v>
      </c>
      <c r="F7" s="43">
        <v>928</v>
      </c>
      <c r="G7" s="40">
        <v>899</v>
      </c>
      <c r="H7" t="b">
        <f>SUM(C$4:C7)&gt;28290</f>
        <v>0</v>
      </c>
      <c r="I7" t="b">
        <f>SUM(C$4:C7)&gt;17220</f>
        <v>0</v>
      </c>
      <c r="J7" t="b">
        <f>SUM(C$4:C7)&gt;9840</f>
        <v>0</v>
      </c>
    </row>
    <row r="8" spans="1:10">
      <c r="A8" s="42">
        <v>2024</v>
      </c>
      <c r="B8" s="41">
        <v>938.70882135877503</v>
      </c>
      <c r="C8" s="41">
        <v>938.70882135877264</v>
      </c>
      <c r="D8" s="41">
        <v>939</v>
      </c>
      <c r="E8" s="41">
        <v>939</v>
      </c>
      <c r="F8" s="43">
        <v>939</v>
      </c>
      <c r="G8" s="40">
        <v>899</v>
      </c>
      <c r="H8" t="b">
        <f>SUM(C$4:C8)&gt;28290</f>
        <v>0</v>
      </c>
      <c r="I8" t="b">
        <f>SUM(C$4:C8)&gt;17220</f>
        <v>0</v>
      </c>
      <c r="J8" t="b">
        <f>SUM(C$4:C8)&gt;9840</f>
        <v>0</v>
      </c>
    </row>
    <row r="9" spans="1:10">
      <c r="A9" s="42">
        <v>2025</v>
      </c>
      <c r="B9" s="41">
        <v>955.05199647311201</v>
      </c>
      <c r="C9" s="41">
        <v>954.41741851739289</v>
      </c>
      <c r="D9" s="41">
        <v>954</v>
      </c>
      <c r="E9" s="41">
        <v>954</v>
      </c>
      <c r="F9" s="43">
        <v>954</v>
      </c>
      <c r="G9" s="40">
        <v>899</v>
      </c>
      <c r="H9" t="b">
        <f>SUM(C$4:C9)&gt;28290</f>
        <v>0</v>
      </c>
      <c r="I9" t="b">
        <f>SUM(C$4:C9)&gt;17220</f>
        <v>0</v>
      </c>
      <c r="J9" t="b">
        <f>SUM(C$4:C9)&gt;9840</f>
        <v>0</v>
      </c>
    </row>
    <row r="10" spans="1:10">
      <c r="A10" s="42">
        <v>2026</v>
      </c>
      <c r="B10" s="41">
        <v>969.76259823479609</v>
      </c>
      <c r="C10" s="41">
        <v>969.10561127216374</v>
      </c>
      <c r="D10" s="41">
        <v>969</v>
      </c>
      <c r="E10" s="41">
        <v>969</v>
      </c>
      <c r="F10" s="43">
        <v>969</v>
      </c>
      <c r="G10" s="40">
        <v>899</v>
      </c>
      <c r="H10" t="b">
        <f>SUM(C$4:C10)&gt;28290</f>
        <v>0</v>
      </c>
      <c r="I10" t="b">
        <f>SUM(C$4:C10)&gt;17220</f>
        <v>0</v>
      </c>
      <c r="J10" t="b">
        <f>SUM(C$4:C10)&gt;9840</f>
        <v>0</v>
      </c>
    </row>
    <row r="11" spans="1:10">
      <c r="A11" s="42">
        <v>2027</v>
      </c>
      <c r="B11" s="41">
        <v>983.83351090877102</v>
      </c>
      <c r="C11" s="41">
        <v>983.15016309324756</v>
      </c>
      <c r="D11" s="41">
        <v>907.70999999999185</v>
      </c>
      <c r="E11" s="41">
        <v>885.0899999999674</v>
      </c>
      <c r="F11" s="43">
        <v>881.79582249088821</v>
      </c>
      <c r="G11" s="40">
        <v>899</v>
      </c>
      <c r="H11" t="b">
        <f>SUM(C$4:C11)&gt;28290</f>
        <v>0</v>
      </c>
      <c r="I11" t="b">
        <f>SUM(C$4:C11)&gt;17220</f>
        <v>0</v>
      </c>
      <c r="J11" t="b">
        <f>SUM(C$4:C11)&gt;9840</f>
        <v>0</v>
      </c>
    </row>
    <row r="12" spans="1:10">
      <c r="A12" s="42">
        <v>2028</v>
      </c>
      <c r="B12" s="41">
        <v>994.7777264565409</v>
      </c>
      <c r="C12" s="41">
        <v>994.07419592706697</v>
      </c>
      <c r="D12" s="41">
        <v>846.41999999999825</v>
      </c>
      <c r="E12" s="41">
        <v>801.17999999999302</v>
      </c>
      <c r="F12" s="43">
        <v>746.1968169001143</v>
      </c>
      <c r="G12" s="40">
        <v>899</v>
      </c>
      <c r="H12" t="b">
        <f>SUM(C$4:C12)&gt;28290</f>
        <v>0</v>
      </c>
      <c r="I12" t="b">
        <f>SUM(C$4:C12)&gt;17220</f>
        <v>0</v>
      </c>
      <c r="J12" t="b">
        <f>SUM(C$4:C12)&gt;9840</f>
        <v>0</v>
      </c>
    </row>
    <row r="13" spans="1:10">
      <c r="A13" s="42">
        <v>2029</v>
      </c>
      <c r="B13" s="41">
        <v>1007.50599223301</v>
      </c>
      <c r="C13" s="41">
        <v>1006.7814435991753</v>
      </c>
      <c r="D13" s="41">
        <v>785.1299999999901</v>
      </c>
      <c r="E13" s="41">
        <v>717.26999999998952</v>
      </c>
      <c r="F13" s="43">
        <v>583.85577202742354</v>
      </c>
      <c r="G13" s="40">
        <v>899</v>
      </c>
      <c r="H13" t="b">
        <f>SUM(C$4:C13)&gt;28290</f>
        <v>0</v>
      </c>
      <c r="I13" t="b">
        <f>SUM(C$4:C13)&gt;17220</f>
        <v>0</v>
      </c>
      <c r="J13" t="b">
        <f>SUM(C$4:C13)&gt;9840</f>
        <v>0</v>
      </c>
    </row>
    <row r="14" spans="1:10" s="49" customFormat="1">
      <c r="A14" s="50">
        <v>2030</v>
      </c>
      <c r="B14" s="51">
        <v>1019.6611500241199</v>
      </c>
      <c r="C14" s="51">
        <v>1015.069760718669</v>
      </c>
      <c r="D14" s="51">
        <v>723.84</v>
      </c>
      <c r="E14" s="51">
        <v>633.3599999999999</v>
      </c>
      <c r="F14" s="52">
        <v>419.5938361174554</v>
      </c>
      <c r="G14" s="53">
        <v>899</v>
      </c>
      <c r="H14" s="49" t="b">
        <f>SUM(C$4:C14)&gt;28290</f>
        <v>0</v>
      </c>
      <c r="I14" s="49" t="b">
        <f>SUM(C$4:C14)&gt;17220</f>
        <v>0</v>
      </c>
      <c r="J14" s="49" t="b">
        <f>SUM(C$4:C14)&gt;9840</f>
        <v>1</v>
      </c>
    </row>
    <row r="15" spans="1:10">
      <c r="A15" s="42">
        <v>2031</v>
      </c>
      <c r="B15" s="41">
        <v>1029.52957167053</v>
      </c>
      <c r="C15" s="41">
        <v>1024.8805526377248</v>
      </c>
      <c r="D15" s="41">
        <v>678.59999999999127</v>
      </c>
      <c r="E15" s="41">
        <v>588.11999999999534</v>
      </c>
      <c r="F15" s="43">
        <v>274.78281601194328</v>
      </c>
      <c r="G15" s="40">
        <v>899</v>
      </c>
      <c r="H15" t="b">
        <f>SUM(C$4:C15)&gt;28290</f>
        <v>0</v>
      </c>
      <c r="I15" t="b">
        <f>SUM(C$4:C15)&gt;17220</f>
        <v>0</v>
      </c>
      <c r="J15" s="49" t="b">
        <f>SUM(C$4:C15)&gt;9840</f>
        <v>1</v>
      </c>
    </row>
    <row r="16" spans="1:10">
      <c r="A16" s="42">
        <v>2032</v>
      </c>
      <c r="B16" s="41">
        <v>1038.4371569274799</v>
      </c>
      <c r="C16" s="41">
        <v>1033.7297923980582</v>
      </c>
      <c r="D16" s="41">
        <v>633.35999999998603</v>
      </c>
      <c r="E16" s="41">
        <v>542.8799999999901</v>
      </c>
      <c r="F16" s="43">
        <v>162.42305866849304</v>
      </c>
      <c r="G16" s="40">
        <v>899</v>
      </c>
      <c r="H16" t="b">
        <f>SUM(C$4:C16)&gt;28290</f>
        <v>0</v>
      </c>
      <c r="I16" t="b">
        <f>SUM(C$4:C16)&gt;17220</f>
        <v>0</v>
      </c>
      <c r="J16" s="49" t="b">
        <f>SUM(C$4:C16)&gt;9840</f>
        <v>1</v>
      </c>
    </row>
    <row r="17" spans="1:10">
      <c r="A17" s="42">
        <v>2033</v>
      </c>
      <c r="B17" s="41">
        <v>1048.08384330904</v>
      </c>
      <c r="C17" s="41">
        <v>1043.3182229429351</v>
      </c>
      <c r="D17" s="41">
        <v>588.11999999999534</v>
      </c>
      <c r="E17" s="41">
        <v>497.63999999999942</v>
      </c>
      <c r="F17" s="43">
        <v>85.647977481052379</v>
      </c>
      <c r="G17" s="40">
        <v>899</v>
      </c>
      <c r="H17" t="b">
        <f>SUM(C$4:C17)&gt;28290</f>
        <v>0</v>
      </c>
      <c r="I17" t="b">
        <f>SUM(C$4:C17)&gt;17220</f>
        <v>0</v>
      </c>
      <c r="J17" s="49" t="b">
        <f>SUM(C$4:C17)&gt;9840</f>
        <v>1</v>
      </c>
    </row>
    <row r="18" spans="1:10">
      <c r="A18" s="42">
        <v>2034</v>
      </c>
      <c r="B18" s="41">
        <v>1059.2752274065799</v>
      </c>
      <c r="C18" s="41">
        <v>1054.4445883945332</v>
      </c>
      <c r="D18" s="41">
        <v>542.8799999999901</v>
      </c>
      <c r="E18" s="41">
        <v>452.39999999999418</v>
      </c>
      <c r="F18" s="43">
        <v>39.700593381841472</v>
      </c>
      <c r="G18" s="40">
        <v>899</v>
      </c>
      <c r="H18" t="b">
        <f>SUM(C$4:C18)&gt;28290</f>
        <v>0</v>
      </c>
      <c r="I18" t="b">
        <f>SUM(C$4:C18)&gt;17220</f>
        <v>0</v>
      </c>
      <c r="J18" s="49" t="b">
        <f>SUM(C$4:C18)&gt;9840</f>
        <v>1</v>
      </c>
    </row>
    <row r="19" spans="1:10">
      <c r="A19" s="42">
        <v>2035</v>
      </c>
      <c r="B19" s="41">
        <v>1067.90223658127</v>
      </c>
      <c r="C19" s="41">
        <v>1054.4758927005835</v>
      </c>
      <c r="D19" s="41">
        <v>497.63999999998487</v>
      </c>
      <c r="E19" s="41">
        <v>407.15999999998894</v>
      </c>
      <c r="F19" s="43">
        <v>15.870320145509265</v>
      </c>
      <c r="G19" s="40">
        <v>899</v>
      </c>
      <c r="H19" t="b">
        <f>SUM(C$4:C19)&gt;28290</f>
        <v>0</v>
      </c>
      <c r="I19" t="b">
        <f>SUM(C$4:C19)&gt;17220</f>
        <v>0</v>
      </c>
      <c r="J19" s="49" t="b">
        <f>SUM(C$4:C19)&gt;9840</f>
        <v>1</v>
      </c>
    </row>
    <row r="20" spans="1:10">
      <c r="A20" s="42">
        <v>2036</v>
      </c>
      <c r="B20" s="41">
        <v>1078.1710748928199</v>
      </c>
      <c r="C20" s="41">
        <v>1064.6081881962327</v>
      </c>
      <c r="D20" s="41">
        <v>452.39999999999418</v>
      </c>
      <c r="E20" s="41">
        <v>361.91999999999825</v>
      </c>
      <c r="F20" s="43">
        <v>5.3319232725349526</v>
      </c>
      <c r="G20" s="40">
        <v>899</v>
      </c>
      <c r="H20" t="b">
        <f>SUM(C$4:C20)&gt;28290</f>
        <v>0</v>
      </c>
      <c r="I20" t="b">
        <f>SUM(C$4:C20)&gt;17220</f>
        <v>0</v>
      </c>
      <c r="J20" s="49" t="b">
        <f>SUM(C$4:C20)&gt;9840</f>
        <v>1</v>
      </c>
    </row>
    <row r="21" spans="1:10" s="49" customFormat="1">
      <c r="A21" s="50">
        <v>2037</v>
      </c>
      <c r="B21" s="51">
        <v>1088.1483735100001</v>
      </c>
      <c r="C21" s="51">
        <v>1074.4474881813164</v>
      </c>
      <c r="D21" s="51">
        <v>407.15999999998894</v>
      </c>
      <c r="E21" s="51">
        <v>316.67999999999302</v>
      </c>
      <c r="F21" s="52">
        <v>1.4512761893265254</v>
      </c>
      <c r="G21" s="53">
        <v>899</v>
      </c>
      <c r="H21" s="49" t="b">
        <f>SUM(C$4:C21)&gt;28290</f>
        <v>0</v>
      </c>
      <c r="I21" s="49" t="b">
        <f>SUM(C$4:C21)&gt;17220</f>
        <v>1</v>
      </c>
      <c r="J21" s="49" t="b">
        <f>SUM(C$4:C21)&gt;9840</f>
        <v>1</v>
      </c>
    </row>
    <row r="22" spans="1:10">
      <c r="A22" s="42">
        <v>2038</v>
      </c>
      <c r="B22" s="41">
        <v>1099.4144083077499</v>
      </c>
      <c r="C22" s="41">
        <v>1085.5620471488853</v>
      </c>
      <c r="D22" s="41">
        <v>361.9199999999837</v>
      </c>
      <c r="E22" s="41">
        <v>271.43999999998778</v>
      </c>
      <c r="F22" s="43">
        <v>0</v>
      </c>
      <c r="G22" s="40">
        <v>899</v>
      </c>
      <c r="H22" t="b">
        <f>SUM(C$4:C22)&gt;28290</f>
        <v>0</v>
      </c>
      <c r="I22" s="49" t="b">
        <f>SUM(C$4:C22)&gt;17220</f>
        <v>1</v>
      </c>
      <c r="J22" s="49" t="b">
        <f>SUM(C$4:C22)&gt;9840</f>
        <v>1</v>
      </c>
    </row>
    <row r="23" spans="1:10">
      <c r="A23" s="42">
        <v>2039</v>
      </c>
      <c r="B23" s="41">
        <v>1108.9769404568301</v>
      </c>
      <c r="C23" s="41">
        <v>1094.9977612348709</v>
      </c>
      <c r="D23" s="41">
        <v>316.67999999999302</v>
      </c>
      <c r="E23" s="41">
        <v>226.19999999999709</v>
      </c>
      <c r="F23" s="43">
        <v>0</v>
      </c>
      <c r="G23" s="40">
        <v>899</v>
      </c>
      <c r="H23" t="b">
        <f>SUM(C$4:C23)&gt;28290</f>
        <v>0</v>
      </c>
      <c r="I23" s="49" t="b">
        <f>SUM(C$4:C23)&gt;17220</f>
        <v>1</v>
      </c>
      <c r="J23" s="49" t="b">
        <f>SUM(C$4:C23)&gt;9840</f>
        <v>1</v>
      </c>
    </row>
    <row r="24" spans="1:10">
      <c r="A24" s="42">
        <v>2040</v>
      </c>
      <c r="B24" s="41">
        <v>1119.6821624551799</v>
      </c>
      <c r="C24" s="41">
        <v>1088.1956974809721</v>
      </c>
      <c r="D24" s="41">
        <v>271.44</v>
      </c>
      <c r="E24" s="41">
        <v>180.96</v>
      </c>
      <c r="F24" s="43">
        <v>0</v>
      </c>
      <c r="G24" s="40">
        <v>899</v>
      </c>
      <c r="H24" t="b">
        <f>SUM(C$4:C24)&gt;28290</f>
        <v>0</v>
      </c>
      <c r="I24" s="49" t="b">
        <f>SUM(C$4:C24)&gt;17220</f>
        <v>1</v>
      </c>
      <c r="J24" s="49" t="b">
        <f>SUM(C$4:C24)&gt;9840</f>
        <v>1</v>
      </c>
    </row>
    <row r="25" spans="1:10">
      <c r="A25" s="42">
        <v>2041</v>
      </c>
      <c r="B25" s="41">
        <v>1128.50779805296</v>
      </c>
      <c r="C25" s="41">
        <v>1096.7686995977892</v>
      </c>
      <c r="D25" s="41">
        <v>244.2960000000021</v>
      </c>
      <c r="E25" s="41">
        <v>162.8640000000014</v>
      </c>
      <c r="F25" s="43">
        <v>0</v>
      </c>
      <c r="G25" s="40">
        <v>899</v>
      </c>
      <c r="H25" t="b">
        <f>SUM(C$4:C25)&gt;28290</f>
        <v>0</v>
      </c>
      <c r="I25" s="49" t="b">
        <f>SUM(C$4:C25)&gt;17220</f>
        <v>1</v>
      </c>
      <c r="J25" s="49" t="b">
        <f>SUM(C$4:C25)&gt;9840</f>
        <v>1</v>
      </c>
    </row>
    <row r="26" spans="1:10">
      <c r="A26" s="42">
        <v>2042</v>
      </c>
      <c r="B26" s="41">
        <v>1138.7531315567001</v>
      </c>
      <c r="C26" s="41">
        <v>1106.7193742432096</v>
      </c>
      <c r="D26" s="41">
        <v>217.15200000000186</v>
      </c>
      <c r="E26" s="41">
        <v>144.76800000000367</v>
      </c>
      <c r="F26" s="43">
        <v>0</v>
      </c>
      <c r="G26" s="40">
        <v>899</v>
      </c>
      <c r="H26" t="b">
        <f>SUM(C$4:C26)&gt;28290</f>
        <v>0</v>
      </c>
      <c r="I26" s="49" t="b">
        <f>SUM(C$4:C26)&gt;17220</f>
        <v>1</v>
      </c>
      <c r="J26" s="49" t="b">
        <f>SUM(C$4:C26)&gt;9840</f>
        <v>1</v>
      </c>
    </row>
    <row r="27" spans="1:10">
      <c r="A27" s="42">
        <v>2043</v>
      </c>
      <c r="B27" s="41">
        <v>1145.51347087261</v>
      </c>
      <c r="C27" s="41">
        <v>1113.287591942377</v>
      </c>
      <c r="D27" s="41">
        <v>190.00800000000163</v>
      </c>
      <c r="E27" s="41">
        <v>126.67200000000594</v>
      </c>
      <c r="F27" s="43">
        <v>0</v>
      </c>
      <c r="G27" s="40">
        <v>899</v>
      </c>
      <c r="H27" t="b">
        <f>SUM(C$4:C27)&gt;28290</f>
        <v>0</v>
      </c>
      <c r="I27" s="49" t="b">
        <f>SUM(C$4:C27)&gt;17220</f>
        <v>1</v>
      </c>
      <c r="J27" s="49" t="b">
        <f>SUM(C$4:C27)&gt;9840</f>
        <v>1</v>
      </c>
    </row>
    <row r="28" spans="1:10">
      <c r="A28" s="42">
        <v>2044</v>
      </c>
      <c r="B28" s="41">
        <v>1154.8753411359201</v>
      </c>
      <c r="C28" s="41">
        <v>1122.3810261118811</v>
      </c>
      <c r="D28" s="41">
        <v>162.8640000000014</v>
      </c>
      <c r="E28" s="41">
        <v>108.57600000000093</v>
      </c>
      <c r="F28" s="43">
        <v>0</v>
      </c>
      <c r="G28" s="40">
        <v>899</v>
      </c>
      <c r="H28" t="b">
        <f>SUM(C$4:C28)&gt;28290</f>
        <v>0</v>
      </c>
      <c r="I28" s="49" t="b">
        <f>SUM(C$4:C28)&gt;17220</f>
        <v>1</v>
      </c>
      <c r="J28" s="49" t="b">
        <f>SUM(C$4:C28)&gt;9840</f>
        <v>1</v>
      </c>
    </row>
    <row r="29" spans="1:10">
      <c r="A29" s="42">
        <v>2045</v>
      </c>
      <c r="B29" s="41">
        <v>1165.8395187420199</v>
      </c>
      <c r="C29" s="41">
        <v>1099.0573922490391</v>
      </c>
      <c r="D29" s="41">
        <v>135.72000000000116</v>
      </c>
      <c r="E29" s="41">
        <v>90.480000000003201</v>
      </c>
      <c r="F29" s="43">
        <v>0</v>
      </c>
      <c r="G29" s="40">
        <v>899</v>
      </c>
      <c r="H29" t="b">
        <f>SUM(C$4:C29)&gt;28290</f>
        <v>0</v>
      </c>
      <c r="I29" s="49" t="b">
        <f>SUM(C$4:C29)&gt;17220</f>
        <v>1</v>
      </c>
      <c r="J29" s="49" t="b">
        <f>SUM(C$4:C29)&gt;9840</f>
        <v>1</v>
      </c>
    </row>
    <row r="30" spans="1:10">
      <c r="A30" s="42">
        <v>2046</v>
      </c>
      <c r="B30" s="41">
        <v>1176.2457499218099</v>
      </c>
      <c r="C30" s="41">
        <v>1108.86637640308</v>
      </c>
      <c r="D30" s="41">
        <v>108.57600000000093</v>
      </c>
      <c r="E30" s="41">
        <v>72.384000000005472</v>
      </c>
      <c r="F30" s="43">
        <v>0</v>
      </c>
      <c r="G30" s="40">
        <v>899</v>
      </c>
      <c r="H30" t="b">
        <f>SUM(C$4:C30)&gt;28290</f>
        <v>0</v>
      </c>
      <c r="I30" s="49" t="b">
        <f>SUM(C$4:C30)&gt;17220</f>
        <v>1</v>
      </c>
      <c r="J30" s="49" t="b">
        <f>SUM(C$4:C30)&gt;9840</f>
        <v>1</v>
      </c>
    </row>
    <row r="31" spans="1:10" s="49" customFormat="1">
      <c r="A31" s="50">
        <v>2047</v>
      </c>
      <c r="B31" s="51">
        <v>1184.8997111759199</v>
      </c>
      <c r="C31" s="51">
        <v>1117.018767682034</v>
      </c>
      <c r="D31" s="51">
        <v>81.432000000000698</v>
      </c>
      <c r="E31" s="51">
        <v>54.288000000000466</v>
      </c>
      <c r="F31" s="52">
        <v>0</v>
      </c>
      <c r="G31" s="53">
        <v>899</v>
      </c>
      <c r="H31" s="49" t="b">
        <f>SUM(C$4:C31)&gt;28290</f>
        <v>1</v>
      </c>
      <c r="I31" s="49" t="b">
        <f>SUM(C$4:C31)&gt;17220</f>
        <v>1</v>
      </c>
      <c r="J31" s="49" t="b">
        <f>SUM(C$4:C31)&gt;9840</f>
        <v>1</v>
      </c>
    </row>
    <row r="32" spans="1:10">
      <c r="A32" s="42">
        <v>2048</v>
      </c>
      <c r="B32" s="41">
        <v>1194.6277103022298</v>
      </c>
      <c r="C32" s="41">
        <v>1126.1862235637841</v>
      </c>
      <c r="D32" s="41">
        <v>54.288000000000466</v>
      </c>
      <c r="E32" s="41">
        <v>36.192000000002736</v>
      </c>
      <c r="F32" s="43">
        <v>0</v>
      </c>
      <c r="G32" s="40">
        <v>899</v>
      </c>
      <c r="H32" s="49" t="b">
        <f>SUM(C$4:C32)&gt;28290</f>
        <v>1</v>
      </c>
      <c r="I32" s="49" t="b">
        <f>SUM(C$4:C32)&gt;17220</f>
        <v>1</v>
      </c>
      <c r="J32" s="49" t="b">
        <f>SUM(C$4:C32)&gt;9840</f>
        <v>1</v>
      </c>
    </row>
    <row r="33" spans="1:10">
      <c r="A33" s="42">
        <v>2049</v>
      </c>
      <c r="B33" s="41">
        <v>1205.2513392380899</v>
      </c>
      <c r="C33" s="41">
        <v>1136.196874249084</v>
      </c>
      <c r="D33" s="41">
        <v>27.144000000000233</v>
      </c>
      <c r="E33" s="41">
        <v>18.096000000005006</v>
      </c>
      <c r="F33" s="43">
        <v>0</v>
      </c>
      <c r="G33" s="40">
        <v>899</v>
      </c>
      <c r="H33" s="49" t="b">
        <f>SUM(C$4:C33)&gt;28290</f>
        <v>1</v>
      </c>
      <c r="I33" s="49" t="b">
        <f>SUM(C$4:C33)&gt;17220</f>
        <v>1</v>
      </c>
      <c r="J33" s="49" t="b">
        <f>SUM(C$4:C33)&gt;9840</f>
        <v>1</v>
      </c>
    </row>
    <row r="34" spans="1:10" ht="17.100000000000001" thickBot="1">
      <c r="A34" s="38">
        <v>2050</v>
      </c>
      <c r="B34" s="44">
        <v>1215.2475336187301</v>
      </c>
      <c r="C34" s="44">
        <v>1125.0623264174194</v>
      </c>
      <c r="D34" s="44">
        <v>0</v>
      </c>
      <c r="E34" s="44">
        <v>0</v>
      </c>
      <c r="F34" s="45">
        <v>0</v>
      </c>
      <c r="G34" s="40">
        <v>899</v>
      </c>
      <c r="H34" s="49" t="b">
        <f>SUM(C$4:C34)&gt;28290</f>
        <v>1</v>
      </c>
      <c r="I34" s="49" t="b">
        <f>SUM(C$4:C34)&gt;17220</f>
        <v>1</v>
      </c>
      <c r="J34" s="49" t="b">
        <f>SUM(C$4:C34)&gt;9840</f>
        <v>1</v>
      </c>
    </row>
    <row r="35" spans="1:10">
      <c r="B35" s="39">
        <f>B34/B3</f>
        <v>1.3514136166329962</v>
      </c>
      <c r="C35" s="39">
        <f>C34/C3</f>
        <v>1.2511233353042235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3E0E7085EF84E44AA24EC65C4CC2DF8" ma:contentTypeVersion="14" ma:contentTypeDescription="Create a new document." ma:contentTypeScope="" ma:versionID="58949aa79827758ca021041a1666d372">
  <xsd:schema xmlns:xsd="http://www.w3.org/2001/XMLSchema" xmlns:xs="http://www.w3.org/2001/XMLSchema" xmlns:p="http://schemas.microsoft.com/office/2006/metadata/properties" xmlns:ns2="e41d82bf-4f40-4563-b22d-e8af0609fa19" xmlns:ns3="423dbbef-a0e1-4676-a127-461ae70aaabe" targetNamespace="http://schemas.microsoft.com/office/2006/metadata/properties" ma:root="true" ma:fieldsID="4ba8639d02fc61ec22db8368f7777c7f" ns2:_="" ns3:_="">
    <xsd:import namespace="e41d82bf-4f40-4563-b22d-e8af0609fa19"/>
    <xsd:import namespace="423dbbef-a0e1-4676-a127-461ae70aaa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1d82bf-4f40-4563-b22d-e8af0609fa1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d3d0c42d-6e87-4daf-ac4d-d5283275e25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3dbbef-a0e1-4676-a127-461ae70aaabe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95401a61-2f8f-41cb-a4b1-5f0d9e49e0e6}" ma:internalName="TaxCatchAll" ma:showField="CatchAllData" ma:web="423dbbef-a0e1-4676-a127-461ae70aaa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23dbbef-a0e1-4676-a127-461ae70aaabe" xsi:nil="true"/>
    <lcf76f155ced4ddcb4097134ff3c332f xmlns="e41d82bf-4f40-4563-b22d-e8af0609fa1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A41620B-1E0D-4BBC-8A79-2FA007072E68}"/>
</file>

<file path=customXml/itemProps2.xml><?xml version="1.0" encoding="utf-8"?>
<ds:datastoreItem xmlns:ds="http://schemas.openxmlformats.org/officeDocument/2006/customXml" ds:itemID="{3C187386-26FE-40E3-A1A9-D94C9254C771}"/>
</file>

<file path=customXml/itemProps3.xml><?xml version="1.0" encoding="utf-8"?>
<ds:datastoreItem xmlns:ds="http://schemas.openxmlformats.org/officeDocument/2006/customXml" ds:itemID="{BF17C403-F914-41B0-8CF2-99AE810042E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Gabriel Alvarez</cp:lastModifiedBy>
  <cp:revision/>
  <dcterms:created xsi:type="dcterms:W3CDTF">2025-01-09T23:01:55Z</dcterms:created>
  <dcterms:modified xsi:type="dcterms:W3CDTF">2026-02-20T19:52:31Z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db26152-23a6-4a6e-8fcb-d99d6e3b8e71_Enabled">
    <vt:lpwstr>true</vt:lpwstr>
  </property>
  <property fmtid="{D5CDD505-2E9C-101B-9397-08002B2CF9AE}" pid="3" name="MSIP_Label_edb26152-23a6-4a6e-8fcb-d99d6e3b8e71_SetDate">
    <vt:lpwstr>2025-01-09T23:30:44Z</vt:lpwstr>
  </property>
  <property fmtid="{D5CDD505-2E9C-101B-9397-08002B2CF9AE}" pid="4" name="MSIP_Label_edb26152-23a6-4a6e-8fcb-d99d6e3b8e71_Method">
    <vt:lpwstr>Standard</vt:lpwstr>
  </property>
  <property fmtid="{D5CDD505-2E9C-101B-9397-08002B2CF9AE}" pid="5" name="MSIP_Label_edb26152-23a6-4a6e-8fcb-d99d6e3b8e71_Name">
    <vt:lpwstr>defa4170-0d19-0005-0004-bc88714345d2</vt:lpwstr>
  </property>
  <property fmtid="{D5CDD505-2E9C-101B-9397-08002B2CF9AE}" pid="6" name="MSIP_Label_edb26152-23a6-4a6e-8fcb-d99d6e3b8e71_SiteId">
    <vt:lpwstr>7fbdd19f-c389-4ced-8a04-0b5090b80cfe</vt:lpwstr>
  </property>
  <property fmtid="{D5CDD505-2E9C-101B-9397-08002B2CF9AE}" pid="7" name="MSIP_Label_edb26152-23a6-4a6e-8fcb-d99d6e3b8e71_ActionId">
    <vt:lpwstr>68fb2e50-09ce-4adb-bfcd-87e1e386c040</vt:lpwstr>
  </property>
  <property fmtid="{D5CDD505-2E9C-101B-9397-08002B2CF9AE}" pid="8" name="MSIP_Label_edb26152-23a6-4a6e-8fcb-d99d6e3b8e71_ContentBits">
    <vt:lpwstr>0</vt:lpwstr>
  </property>
  <property fmtid="{D5CDD505-2E9C-101B-9397-08002B2CF9AE}" pid="9" name="ContentTypeId">
    <vt:lpwstr>0x01010003E0E7085EF84E44AA24EC65C4CC2DF8</vt:lpwstr>
  </property>
  <property fmtid="{D5CDD505-2E9C-101B-9397-08002B2CF9AE}" pid="10" name="MediaServiceImageTags">
    <vt:lpwstr/>
  </property>
</Properties>
</file>